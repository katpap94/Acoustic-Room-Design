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bacd256c5d7509/Υπολογιστής/πτυχιακή/"/>
    </mc:Choice>
  </mc:AlternateContent>
  <xr:revisionPtr revIDLastSave="41" documentId="13_ncr:1_{9F23B207-25DC-463D-BFFC-0387E2F98F3A}" xr6:coauthVersionLast="47" xr6:coauthVersionMax="47" xr10:uidLastSave="{46399617-C88D-4CB5-BD14-6EB3A4862B7A}"/>
  <bookViews>
    <workbookView xWindow="-110" yWindow="-110" windowWidth="19420" windowHeight="10300" tabRatio="638" activeTab="1" xr2:uid="{00000000-000D-0000-FFFF-FFFF00000000}"/>
  </bookViews>
  <sheets>
    <sheet name="Properties_Fitzroy" sheetId="2" r:id="rId1"/>
    <sheet name="RT60_Fitzroy" sheetId="4" r:id="rId2"/>
    <sheet name="Best RT60_Fitzroy" sheetId="14" r:id="rId3"/>
    <sheet name="Fitzroy_Calculations" sheetId="10" r:id="rId4"/>
  </sheets>
  <definedNames>
    <definedName name="Church">'Best RT60_Fitzroy'!$B$4</definedName>
    <definedName name="Cinema">'Best RT60_Fitzroy'!$B$5</definedName>
    <definedName name="Concert_Hall">'Best RT60_Fitzroy'!$B$2</definedName>
    <definedName name="Opera_House">'Best RT60_Fitzroy'!$B$3</definedName>
    <definedName name="Reference_Hall">'Best RT60_Fitzroy'!$B$6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4" l="1"/>
  <c r="E22" i="4"/>
  <c r="F22" i="4"/>
  <c r="G22" i="4"/>
  <c r="H22" i="4"/>
  <c r="C23" i="4"/>
  <c r="D23" i="4"/>
  <c r="E23" i="4"/>
  <c r="F23" i="4"/>
  <c r="G23" i="4"/>
  <c r="H23" i="4"/>
  <c r="C24" i="4"/>
  <c r="D24" i="4"/>
  <c r="E24" i="4"/>
  <c r="F24" i="4"/>
  <c r="G24" i="4"/>
  <c r="H24" i="4"/>
  <c r="C25" i="4"/>
  <c r="D25" i="4"/>
  <c r="E25" i="4"/>
  <c r="F25" i="4"/>
  <c r="G25" i="4"/>
  <c r="H25" i="4"/>
  <c r="C26" i="4"/>
  <c r="D26" i="4"/>
  <c r="E26" i="4"/>
  <c r="F26" i="4"/>
  <c r="G26" i="4"/>
  <c r="H26" i="4"/>
  <c r="D21" i="4"/>
  <c r="E21" i="4"/>
  <c r="F21" i="4"/>
  <c r="G21" i="4"/>
  <c r="H21" i="4"/>
  <c r="C21" i="4"/>
  <c r="C14" i="4"/>
  <c r="D14" i="4"/>
  <c r="E14" i="4"/>
  <c r="F14" i="4"/>
  <c r="G14" i="4"/>
  <c r="H14" i="4"/>
  <c r="C15" i="4"/>
  <c r="D15" i="4"/>
  <c r="E15" i="4"/>
  <c r="F15" i="4"/>
  <c r="G15" i="4"/>
  <c r="H15" i="4"/>
  <c r="C16" i="4"/>
  <c r="D16" i="4"/>
  <c r="E16" i="4"/>
  <c r="F16" i="4"/>
  <c r="G16" i="4"/>
  <c r="H16" i="4"/>
  <c r="C17" i="4"/>
  <c r="D17" i="4"/>
  <c r="E17" i="4"/>
  <c r="F17" i="4"/>
  <c r="G17" i="4"/>
  <c r="H17" i="4"/>
  <c r="C18" i="4"/>
  <c r="D18" i="4"/>
  <c r="E18" i="4"/>
  <c r="F18" i="4"/>
  <c r="G18" i="4"/>
  <c r="H18" i="4"/>
  <c r="D13" i="4"/>
  <c r="E13" i="4"/>
  <c r="F13" i="4"/>
  <c r="G13" i="4"/>
  <c r="H13" i="4"/>
  <c r="C13" i="4"/>
  <c r="C6" i="4"/>
  <c r="D6" i="4"/>
  <c r="E6" i="4"/>
  <c r="F6" i="4"/>
  <c r="G6" i="4"/>
  <c r="H6" i="4"/>
  <c r="C7" i="4"/>
  <c r="D7" i="4"/>
  <c r="E7" i="4"/>
  <c r="F7" i="4"/>
  <c r="G7" i="4"/>
  <c r="H7" i="4"/>
  <c r="C8" i="4"/>
  <c r="D8" i="4"/>
  <c r="E8" i="4"/>
  <c r="F8" i="4"/>
  <c r="G8" i="4"/>
  <c r="H8" i="4"/>
  <c r="C9" i="4"/>
  <c r="D9" i="4"/>
  <c r="E9" i="4"/>
  <c r="F9" i="4"/>
  <c r="G9" i="4"/>
  <c r="H9" i="4"/>
  <c r="C10" i="4"/>
  <c r="E10" i="4"/>
  <c r="F10" i="4"/>
  <c r="G10" i="4"/>
  <c r="H10" i="4"/>
  <c r="D5" i="4"/>
  <c r="E5" i="4"/>
  <c r="F5" i="4"/>
  <c r="G5" i="4"/>
  <c r="H5" i="4"/>
  <c r="C5" i="4"/>
  <c r="G2" i="10" l="1"/>
  <c r="H2" i="10"/>
  <c r="I2" i="10"/>
  <c r="K2" i="10"/>
  <c r="J2" i="10"/>
  <c r="G3" i="10"/>
  <c r="H3" i="10"/>
  <c r="I3" i="10"/>
  <c r="J3" i="10"/>
  <c r="K3" i="10"/>
  <c r="G4" i="10"/>
  <c r="H4" i="10"/>
  <c r="I4" i="10"/>
  <c r="J4" i="10"/>
  <c r="K4" i="10"/>
  <c r="G5" i="10"/>
  <c r="H5" i="10"/>
  <c r="I5" i="10"/>
  <c r="J5" i="10"/>
  <c r="K5" i="10"/>
  <c r="G6" i="10"/>
  <c r="H6" i="10"/>
  <c r="I6" i="10"/>
  <c r="J6" i="10"/>
  <c r="K6" i="10"/>
  <c r="G7" i="10"/>
  <c r="H7" i="10"/>
  <c r="I7" i="10"/>
  <c r="J7" i="10"/>
  <c r="K7" i="10"/>
  <c r="F4" i="10"/>
  <c r="F5" i="10"/>
  <c r="F6" i="10"/>
  <c r="F7" i="10"/>
  <c r="E7" i="14" l="1"/>
  <c r="E10" i="14" s="1"/>
  <c r="L7" i="4" s="1"/>
  <c r="E2" i="14"/>
  <c r="H20" i="10" l="1"/>
  <c r="I20" i="10"/>
  <c r="J20" i="10"/>
  <c r="K20" i="10"/>
  <c r="D20" i="10"/>
  <c r="F20" i="10"/>
  <c r="G20" i="10"/>
  <c r="A2" i="10"/>
  <c r="G19" i="10"/>
  <c r="H19" i="10"/>
  <c r="I19" i="10"/>
  <c r="J19" i="10"/>
  <c r="K19" i="10"/>
  <c r="F19" i="10"/>
  <c r="D19" i="10"/>
  <c r="E19" i="10"/>
  <c r="E20" i="10"/>
  <c r="D21" i="10"/>
  <c r="E21" i="10"/>
  <c r="F21" i="10"/>
  <c r="G21" i="10"/>
  <c r="H21" i="10"/>
  <c r="I21" i="10"/>
  <c r="J21" i="10"/>
  <c r="K21" i="10"/>
  <c r="D22" i="10"/>
  <c r="E22" i="10"/>
  <c r="F22" i="10"/>
  <c r="G22" i="10"/>
  <c r="H22" i="10"/>
  <c r="I22" i="10"/>
  <c r="J22" i="10"/>
  <c r="K22" i="10"/>
  <c r="D23" i="10"/>
  <c r="E23" i="10"/>
  <c r="F23" i="10"/>
  <c r="G23" i="10"/>
  <c r="H23" i="10"/>
  <c r="I23" i="10"/>
  <c r="J23" i="10"/>
  <c r="K23" i="10"/>
  <c r="E18" i="10"/>
  <c r="E10" i="10"/>
  <c r="E11" i="10"/>
  <c r="F12" i="10"/>
  <c r="G12" i="10"/>
  <c r="H12" i="10"/>
  <c r="I12" i="10"/>
  <c r="J12" i="10"/>
  <c r="K12" i="10"/>
  <c r="E13" i="10"/>
  <c r="F13" i="10"/>
  <c r="G13" i="10"/>
  <c r="H13" i="10"/>
  <c r="I13" i="10"/>
  <c r="J13" i="10"/>
  <c r="K13" i="10"/>
  <c r="E14" i="10"/>
  <c r="F14" i="10"/>
  <c r="G14" i="10"/>
  <c r="H14" i="10"/>
  <c r="I14" i="10"/>
  <c r="J14" i="10"/>
  <c r="K14" i="10"/>
  <c r="E15" i="10"/>
  <c r="F15" i="10"/>
  <c r="G15" i="10"/>
  <c r="H15" i="10"/>
  <c r="I15" i="10"/>
  <c r="J15" i="10"/>
  <c r="K15" i="10"/>
  <c r="D12" i="10"/>
  <c r="D13" i="10"/>
  <c r="D14" i="10"/>
  <c r="D15" i="10"/>
  <c r="E3" i="10"/>
  <c r="E4" i="10"/>
  <c r="E5" i="10"/>
  <c r="E6" i="10"/>
  <c r="E7" i="10"/>
  <c r="D4" i="10"/>
  <c r="D5" i="10"/>
  <c r="D6" i="10"/>
  <c r="D7" i="10"/>
  <c r="D3" i="10"/>
  <c r="D2" i="10"/>
  <c r="D11" i="10"/>
  <c r="D10" i="10"/>
  <c r="F10" i="10"/>
  <c r="D18" i="10"/>
  <c r="G18" i="10"/>
  <c r="H18" i="10"/>
  <c r="I18" i="10"/>
  <c r="J18" i="10"/>
  <c r="K18" i="10"/>
  <c r="F18" i="10"/>
  <c r="K11" i="10"/>
  <c r="J11" i="10"/>
  <c r="I11" i="10"/>
  <c r="H11" i="10"/>
  <c r="G11" i="10"/>
  <c r="F11" i="10"/>
  <c r="K10" i="10"/>
  <c r="I10" i="10"/>
  <c r="H10" i="10"/>
  <c r="G10" i="10"/>
  <c r="G29" i="10" l="1" a="1"/>
  <c r="G29" i="10" s="1"/>
  <c r="K29" i="10" a="1"/>
  <c r="K29" i="10" s="1"/>
  <c r="H29" i="10" a="1"/>
  <c r="H29" i="10" s="1"/>
  <c r="I29" i="10" a="1"/>
  <c r="I29" i="10" s="1"/>
  <c r="J29" i="10" l="1" a="1"/>
  <c r="J29" i="10" s="1"/>
  <c r="F29" i="10" a="1"/>
  <c r="F29" i="10" s="1"/>
  <c r="E12" i="10"/>
  <c r="B8" i="10" s="1"/>
  <c r="F2" i="10"/>
  <c r="F27" i="10" s="1" a="1"/>
  <c r="F27" i="10" s="1"/>
  <c r="K27" i="10" l="1" a="1"/>
  <c r="K27" i="10" s="1"/>
  <c r="I27" i="10" a="1"/>
  <c r="I27" i="10" s="1"/>
  <c r="G27" i="10" a="1"/>
  <c r="G27" i="10" s="1"/>
  <c r="J27" i="10" a="1"/>
  <c r="J27" i="10" s="1"/>
  <c r="H27" i="10" a="1"/>
  <c r="H27" i="10" s="1"/>
  <c r="G28" i="10" a="1"/>
  <c r="G28" i="10" s="1"/>
  <c r="H28" i="10" l="1" a="1"/>
  <c r="H28" i="10" s="1"/>
  <c r="I28" i="10" a="1"/>
  <c r="I28" i="10" s="1"/>
  <c r="K28" i="10" a="1"/>
  <c r="K28" i="10" s="1"/>
  <c r="J28" i="10" a="1"/>
  <c r="J28" i="10" s="1"/>
  <c r="F28" i="10" a="1"/>
  <c r="F28" i="10" s="1"/>
  <c r="P6" i="10" l="1" a="1"/>
  <c r="P6" i="10" s="1"/>
  <c r="M5" i="4" s="1"/>
  <c r="N6" i="10" a="1"/>
  <c r="N6" i="10" s="1"/>
  <c r="K5" i="4" s="1"/>
  <c r="Q6" i="10" a="1"/>
  <c r="Q6" i="10" s="1"/>
  <c r="N5" i="4" s="1"/>
  <c r="S6" i="10" a="1"/>
  <c r="S6" i="10" s="1"/>
  <c r="P5" i="4" s="1"/>
  <c r="O6" i="10" a="1"/>
  <c r="O6" i="10" s="1"/>
  <c r="L5" i="4" s="1"/>
  <c r="R6" i="10" a="1"/>
  <c r="R6" i="10" s="1"/>
  <c r="O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<sst xmlns="http://schemas.openxmlformats.org/spreadsheetml/2006/main" count="184" uniqueCount="85">
  <si>
    <t>Description</t>
  </si>
  <si>
    <t>Occupied audience,orchestra,chorus</t>
  </si>
  <si>
    <t>Upholstered seats,cloth-covered,perforated bottoms</t>
  </si>
  <si>
    <t>Upholstered seats,leather-covered</t>
  </si>
  <si>
    <t>Carpet,heavy on concrete</t>
  </si>
  <si>
    <t>Acoustic plaster (approximate)</t>
  </si>
  <si>
    <t>Acoustic tile on rigid surface</t>
  </si>
  <si>
    <t>Acoustic tile, suspended (false ceiling)</t>
  </si>
  <si>
    <t>Wooden platform with airspace</t>
  </si>
  <si>
    <t>Wood paneling 3/8-1/2 in. over 2-4 in. airspace</t>
  </si>
  <si>
    <t>Plywood, 1/4 in. on studs fiberglass backing</t>
  </si>
  <si>
    <t>wooden walls, 2 in.</t>
  </si>
  <si>
    <t>Floor, wooden</t>
  </si>
  <si>
    <t>Floor, linoleum, flexible tile, on concrete</t>
  </si>
  <si>
    <t xml:space="preserve">Floor, linoleum, flexible tile, on subfloor </t>
  </si>
  <si>
    <t>Floor, terrazzo</t>
  </si>
  <si>
    <t>Plaster, smooth on lath</t>
  </si>
  <si>
    <t>Plaster, smooth on lath on studs</t>
  </si>
  <si>
    <t>Plaster, 1 in. damped on concrete block,brick,lath</t>
  </si>
  <si>
    <t>Glass, heavy plate</t>
  </si>
  <si>
    <t>Glass, windowpane</t>
  </si>
  <si>
    <t>Brick, unglazed, no paint</t>
  </si>
  <si>
    <t>Gypsum, 1/2 in.on studs</t>
  </si>
  <si>
    <t>Brick, smooth plaster finish</t>
  </si>
  <si>
    <t>Concrete block, no paint</t>
  </si>
  <si>
    <t>Concrete block, painted</t>
  </si>
  <si>
    <t>Concrete block, smooth plaster finish</t>
  </si>
  <si>
    <t>Concrete block, slotted two-well</t>
  </si>
  <si>
    <t>Perforated panel over isolation blanket, 10% open area</t>
  </si>
  <si>
    <t>Fiberglass, 1 in. on rigid backing</t>
  </si>
  <si>
    <t>Fiberglass, 2 in. on rigid backing</t>
  </si>
  <si>
    <t>Fiberglass, 2 in. on rigid backing, 1 in. airspace</t>
  </si>
  <si>
    <t>Fiberglass, 4 in. on rigid backing</t>
  </si>
  <si>
    <t xml:space="preserve">125 Hz     </t>
  </si>
  <si>
    <t>250 Hz</t>
  </si>
  <si>
    <t>500 Hz</t>
  </si>
  <si>
    <t>1000 Hz</t>
  </si>
  <si>
    <t>2000 Hz</t>
  </si>
  <si>
    <t>4000 Hz</t>
  </si>
  <si>
    <r>
      <t>Single person or heavily upholstered seat(</t>
    </r>
    <r>
      <rPr>
        <sz val="11"/>
        <color theme="1"/>
        <rFont val="Calibri"/>
        <family val="2"/>
        <charset val="161"/>
      </rPr>
      <t>± 0.10        )</t>
    </r>
  </si>
  <si>
    <t>Wooden chair, table, furnishing, for one person</t>
  </si>
  <si>
    <t xml:space="preserve">Sound Absorption A in </t>
  </si>
  <si>
    <t>Frequency (Hz)</t>
  </si>
  <si>
    <t>RT60 (s)</t>
  </si>
  <si>
    <r>
      <t>Area (m</t>
    </r>
    <r>
      <rPr>
        <vertAlign val="superscript"/>
        <sz val="11"/>
        <color theme="1"/>
        <rFont val="Calibri"/>
        <family val="2"/>
        <charset val="161"/>
        <scheme val="minor"/>
      </rPr>
      <t>2</t>
    </r>
    <r>
      <rPr>
        <sz val="11"/>
        <color theme="1"/>
        <rFont val="Calibri"/>
        <family val="2"/>
        <charset val="161"/>
        <scheme val="minor"/>
      </rPr>
      <t>)</t>
    </r>
  </si>
  <si>
    <t>ᾱ</t>
  </si>
  <si>
    <r>
      <t>Room Volume (m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charset val="161"/>
      </rPr>
      <t>)</t>
    </r>
  </si>
  <si>
    <r>
      <t>Surface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</si>
  <si>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ZX</t>
  </si>
  <si>
    <t>YZ</t>
  </si>
  <si>
    <t>Material - YZ</t>
  </si>
  <si>
    <t>XY</t>
  </si>
  <si>
    <t>Material - XY</t>
  </si>
  <si>
    <t>Material - ZX</t>
  </si>
  <si>
    <t>ᾱ= (S1*a1+S2*a2+⋯+Sn*an)/S</t>
  </si>
  <si>
    <t>Total S</t>
  </si>
  <si>
    <t>INPUT</t>
  </si>
  <si>
    <t>OUTPUT</t>
  </si>
  <si>
    <t>125 Hz</t>
  </si>
  <si>
    <t>Surface</t>
  </si>
  <si>
    <t>KNAUF plasterboard, R6/18, 400mm from wall</t>
  </si>
  <si>
    <t>KNAUF plasterboard, R6/18, 65 mm from wall</t>
  </si>
  <si>
    <t>KNAUF plasterboard, R6/18, 65 mm from wall + 20mm Thermolan</t>
  </si>
  <si>
    <t>Carpet - normal</t>
  </si>
  <si>
    <t>Carpet,heavy on undercarpet(1.35  kgr/m2  felt or foam rubber)</t>
  </si>
  <si>
    <t>Concrete (unpainted, rough finish)</t>
  </si>
  <si>
    <t>Concrete (sealed or painted)</t>
  </si>
  <si>
    <t>Wood parquet on concrete</t>
  </si>
  <si>
    <t>Curtains (0.48 kgr/m2)  velour, draped to half area</t>
  </si>
  <si>
    <t>Marble or glazed tile</t>
  </si>
  <si>
    <t>Concert Hall</t>
  </si>
  <si>
    <t>Opera House</t>
  </si>
  <si>
    <t>Church</t>
  </si>
  <si>
    <t>Cinema</t>
  </si>
  <si>
    <t>Number of people</t>
  </si>
  <si>
    <t>Use</t>
  </si>
  <si>
    <t>Best RT60</t>
  </si>
  <si>
    <t>Reference Hall</t>
  </si>
  <si>
    <t xml:space="preserve">Use
</t>
  </si>
  <si>
    <t>Source</t>
  </si>
  <si>
    <t>Speaking</t>
  </si>
  <si>
    <t>Orchestra</t>
  </si>
  <si>
    <t>Choir</t>
  </si>
  <si>
    <t>r</t>
  </si>
  <si>
    <r>
      <t>Best Volume
/person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charset val="161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</si>
</sst>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</font>
    <font>
      <vertAlign val="superscript"/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0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7" xfId="0" applyBorder="1"/>
    <xf numFmtId="2" fontId="0" fillId="3" borderId="1" xfId="0" applyNumberFormat="1" applyFill="1" applyBorder="1"/>
    <xf numFmtId="0" fontId="7" fillId="0" borderId="0" xfId="0" applyFont="1"/>
    <xf numFmtId="0" fontId="0" fillId="0" borderId="2" xfId="0" applyBorder="1"/>
    <xf numFmtId="0" fontId="7" fillId="0" borderId="3" xfId="0" applyFont="1" applyBorder="1"/>
    <xf numFmtId="0" fontId="9" fillId="0" borderId="0" xfId="0" applyFont="1"/>
    <xf numFmtId="0" fontId="0" fillId="2" borderId="4" xfId="0" applyFill="1" applyBorder="1"/>
    <xf numFmtId="0" fontId="0" fillId="2" borderId="6" xfId="0" applyFill="1" applyBorder="1"/>
    <xf numFmtId="1" fontId="7" fillId="2" borderId="1" xfId="0" applyNumberFormat="1" applyFont="1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1" xfId="0" applyFill="1" applyBorder="1"/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/>
    <xf numFmtId="2" fontId="0" fillId="6" borderId="1" xfId="0" applyNumberFormat="1" applyFill="1" applyBorder="1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top" wrapText="1"/>
    </xf>
    <xf numFmtId="0" fontId="0" fillId="7" borderId="1" xfId="0" applyFill="1" applyBorder="1"/>
    <xf numFmtId="1" fontId="0" fillId="7" borderId="1" xfId="0" applyNumberFormat="1" applyFill="1" applyBorder="1"/>
    <xf numFmtId="0" fontId="5" fillId="7" borderId="4" xfId="0" applyFont="1" applyFill="1" applyBorder="1"/>
    <xf numFmtId="0" fontId="0" fillId="7" borderId="5" xfId="0" applyFill="1" applyBorder="1"/>
    <xf numFmtId="0" fontId="0" fillId="7" borderId="6" xfId="0" applyFill="1" applyBorder="1"/>
    <xf numFmtId="0" fontId="7" fillId="8" borderId="1" xfId="0" applyFont="1" applyFill="1" applyBorder="1"/>
    <xf numFmtId="0" fontId="0" fillId="8" borderId="1" xfId="0" applyFill="1" applyBorder="1"/>
    <xf numFmtId="1" fontId="7" fillId="8" borderId="1" xfId="0" applyNumberFormat="1" applyFont="1" applyFill="1" applyBorder="1"/>
    <xf numFmtId="0" fontId="0" fillId="9" borderId="0" xfId="0" applyFill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colors>
    <mruColors>
      <color rgb="FFFFF093"/>
      <color rgb="FF00FFFF"/>
      <color rgb="FFCCFF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922220418323985E-2"/>
          <c:y val="6.8532487468532965E-2"/>
          <c:w val="0.86587858863002953"/>
          <c:h val="0.78976733381948083"/>
        </c:manualLayout>
      </c:layout>
      <c:lineChart>
        <c:grouping val="standard"/>
        <c:varyColors val="0"/>
        <c:ser>
          <c:idx val="5"/>
          <c:order val="5"/>
          <c:tx>
            <c:v>RT6O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RT60_Fitzroy!$K$4:$P$4</c:f>
              <c:strCache>
                <c:ptCount val="6"/>
                <c:pt idx="0">
                  <c:v>125 Hz     </c:v>
                </c:pt>
                <c:pt idx="1">
                  <c:v>250 Hz</c:v>
                </c:pt>
                <c:pt idx="2">
                  <c:v>500 Hz</c:v>
                </c:pt>
                <c:pt idx="3">
                  <c:v>1000 Hz</c:v>
                </c:pt>
                <c:pt idx="4">
                  <c:v>2000 Hz</c:v>
                </c:pt>
                <c:pt idx="5">
                  <c:v>4000 Hz</c:v>
                </c:pt>
              </c:strCache>
            </c:strRef>
          </c:cat>
          <c:val>
            <c:numRef>
              <c:f>RT60_Fitzroy!$K$5:$P$5</c:f>
              <c:numCache>
                <c:formatCode>0.00</c:formatCode>
                <c:ptCount val="6"/>
                <c:pt idx="0">
                  <c:v>5.2284147750182717</c:v>
                </c:pt>
                <c:pt idx="1">
                  <c:v>17.79078022924875</c:v>
                </c:pt>
                <c:pt idx="2">
                  <c:v>9.7239195027022394</c:v>
                </c:pt>
                <c:pt idx="3">
                  <c:v>7.5511618825120896</c:v>
                </c:pt>
                <c:pt idx="4">
                  <c:v>5.2648441943406414</c:v>
                </c:pt>
                <c:pt idx="5">
                  <c:v>5.4411138734006004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7CE-412B-A952-B494C54C944B}"/>
            </c:ext>
          </c:extLst>
        </c:ser>
        <c:ser>
          <c:idx val="6"/>
          <c:order val="6"/>
          <c:tx>
            <c:v>Best RT60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chemeClr val="accent5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ctr"/>
            <c:showLegendKey val="1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RT60_Fitzroy!$K$4:$P$4</c:f>
              <c:strCache>
                <c:ptCount val="6"/>
                <c:pt idx="0">
                  <c:v>125 Hz     </c:v>
                </c:pt>
                <c:pt idx="1">
                  <c:v>250 Hz</c:v>
                </c:pt>
                <c:pt idx="2">
                  <c:v>500 Hz</c:v>
                </c:pt>
                <c:pt idx="3">
                  <c:v>1000 Hz</c:v>
                </c:pt>
                <c:pt idx="4">
                  <c:v>2000 Hz</c:v>
                </c:pt>
                <c:pt idx="5">
                  <c:v>4000 Hz</c:v>
                </c:pt>
              </c:strCache>
            </c:strRef>
          </c:cat>
          <c:val>
            <c:numRef>
              <c:f>RT60_Fitzroy!$L$7</c:f>
              <c:numCache>
                <c:formatCode>0.00</c:formatCode>
                <c:ptCount val="1"/>
                <c:pt idx="0">
                  <c:v>0.73038105197476955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CE-412B-A952-B494C54C944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92654128"/>
        <c:axId val="20926416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Sabine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l-G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RT60_Fitzroy!$K$4:$P$4</c15:sqref>
                        </c15:formulaRef>
                      </c:ext>
                    </c:extLst>
                    <c:strCache>
                      <c:ptCount val="6"/>
                      <c:pt idx="0">
                        <c:v>125 Hz     </c:v>
                      </c:pt>
                      <c:pt idx="1">
                        <c:v>250 Hz</c:v>
                      </c:pt>
                      <c:pt idx="2">
                        <c:v>500 Hz</c:v>
                      </c:pt>
                      <c:pt idx="3">
                        <c:v>1000 Hz</c:v>
                      </c:pt>
                      <c:pt idx="4">
                        <c:v>2000 Hz</c:v>
                      </c:pt>
                      <c:pt idx="5">
                        <c:v>4000 Hz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7CE-412B-A952-B494C54C944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Norris Eyring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l-G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RT60_Fitzroy!$K$4:$P$4</c15:sqref>
                        </c15:formulaRef>
                      </c:ext>
                    </c:extLst>
                    <c:strCache>
                      <c:ptCount val="6"/>
                      <c:pt idx="0">
                        <c:v>125 Hz     </c:v>
                      </c:pt>
                      <c:pt idx="1">
                        <c:v>250 Hz</c:v>
                      </c:pt>
                      <c:pt idx="2">
                        <c:v>500 Hz</c:v>
                      </c:pt>
                      <c:pt idx="3">
                        <c:v>1000 Hz</c:v>
                      </c:pt>
                      <c:pt idx="4">
                        <c:v>2000 Hz</c:v>
                      </c:pt>
                      <c:pt idx="5">
                        <c:v>4000 Hz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7CE-412B-A952-B494C54C944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Sette-Millington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2A4E-489E-9410-AA9398A7906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l-G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RT60_Fitzroy!$K$4:$P$4</c15:sqref>
                        </c15:formulaRef>
                      </c:ext>
                    </c:extLst>
                    <c:strCache>
                      <c:ptCount val="6"/>
                      <c:pt idx="0">
                        <c:v>125 Hz     </c:v>
                      </c:pt>
                      <c:pt idx="1">
                        <c:v>250 Hz</c:v>
                      </c:pt>
                      <c:pt idx="2">
                        <c:v>500 Hz</c:v>
                      </c:pt>
                      <c:pt idx="3">
                        <c:v>1000 Hz</c:v>
                      </c:pt>
                      <c:pt idx="4">
                        <c:v>2000 Hz</c:v>
                      </c:pt>
                      <c:pt idx="5">
                        <c:v>4000 Hz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7CE-412B-A952-B494C54C944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Sabine+air absorption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RT60_Fitzroy!$K$4:$P$4</c15:sqref>
                        </c15:formulaRef>
                      </c:ext>
                    </c:extLst>
                    <c:strCache>
                      <c:ptCount val="6"/>
                      <c:pt idx="0">
                        <c:v>125 Hz     </c:v>
                      </c:pt>
                      <c:pt idx="1">
                        <c:v>250 Hz</c:v>
                      </c:pt>
                      <c:pt idx="2">
                        <c:v>500 Hz</c:v>
                      </c:pt>
                      <c:pt idx="3">
                        <c:v>1000 Hz</c:v>
                      </c:pt>
                      <c:pt idx="4">
                        <c:v>2000 Hz</c:v>
                      </c:pt>
                      <c:pt idx="5">
                        <c:v>4000 Hz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7CE-412B-A952-B494C54C944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Best RT60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RT60_Fitzroy!$K$4:$P$4</c15:sqref>
                        </c15:formulaRef>
                      </c:ext>
                    </c:extLst>
                    <c:strCache>
                      <c:ptCount val="6"/>
                      <c:pt idx="0">
                        <c:v>125 Hz     </c:v>
                      </c:pt>
                      <c:pt idx="1">
                        <c:v>250 Hz</c:v>
                      </c:pt>
                      <c:pt idx="2">
                        <c:v>500 Hz</c:v>
                      </c:pt>
                      <c:pt idx="3">
                        <c:v>1000 Hz</c:v>
                      </c:pt>
                      <c:pt idx="4">
                        <c:v>2000 Hz</c:v>
                      </c:pt>
                      <c:pt idx="5">
                        <c:v>4000 Hz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7CE-412B-A952-B494C54C944B}"/>
                  </c:ext>
                </c:extLst>
              </c15:ser>
            </c15:filteredLineSeries>
          </c:ext>
        </c:extLst>
      </c:lineChart>
      <c:catAx>
        <c:axId val="2092654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(Hz)</a:t>
                </a:r>
              </a:p>
            </c:rich>
          </c:tx>
          <c:layout>
            <c:manualLayout>
              <c:xMode val="edge"/>
              <c:yMode val="edge"/>
              <c:x val="0.44521693663406986"/>
              <c:y val="0.921252284989589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092641648"/>
        <c:crosses val="autoZero"/>
        <c:auto val="1"/>
        <c:lblAlgn val="ctr"/>
        <c:lblOffset val="100"/>
        <c:noMultiLvlLbl val="0"/>
      </c:catAx>
      <c:valAx>
        <c:axId val="209264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 60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09265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363070</xdr:colOff>
      <xdr:row>47</xdr:row>
      <xdr:rowOff>166687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83FB64E-D750-4147-8FE4-440440CF1C1D}"/>
                </a:ext>
              </a:extLst>
            </xdr:cNvPr>
            <xdr:cNvSpPr txBox="1"/>
          </xdr:nvSpPr>
          <xdr:spPr>
            <a:xfrm>
              <a:off x="3545541" y="8414216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l-GR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83FB64E-D750-4147-8FE4-440440CF1C1D}"/>
                </a:ext>
              </a:extLst>
            </xdr:cNvPr>
            <xdr:cNvSpPr txBox="1"/>
          </xdr:nvSpPr>
          <xdr:spPr>
            <a:xfrm>
              <a:off x="3545541" y="8414216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𝑚</a:t>
              </a:r>
              <a:r>
                <a:rPr lang="el-GR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endParaRPr lang="el-GR" sz="1100"/>
            </a:p>
          </xdr:txBody>
        </xdr:sp>
      </mc:Fallback>
    </mc:AlternateContent>
    <xdr:clientData/>
  </xdr:oneCellAnchor>
  <xdr:oneCellAnchor>
    <xdr:from>
      <xdr:col>11</xdr:col>
      <xdr:colOff>32498</xdr:colOff>
      <xdr:row>46</xdr:row>
      <xdr:rowOff>5883</xdr:rowOff>
    </xdr:from>
    <xdr:ext cx="217945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7D228B6-BD6B-4887-B537-36323882CF81}"/>
                </a:ext>
              </a:extLst>
            </xdr:cNvPr>
            <xdr:cNvSpPr txBox="1"/>
          </xdr:nvSpPr>
          <xdr:spPr>
            <a:xfrm>
              <a:off x="7177369" y="8074118"/>
              <a:ext cx="21794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l-GR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7D228B6-BD6B-4887-B537-36323882CF81}"/>
                </a:ext>
              </a:extLst>
            </xdr:cNvPr>
            <xdr:cNvSpPr txBox="1"/>
          </xdr:nvSpPr>
          <xdr:spPr>
            <a:xfrm>
              <a:off x="7177369" y="8074118"/>
              <a:ext cx="21794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𝑚</a:t>
              </a:r>
              <a:r>
                <a:rPr lang="el-GR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endParaRPr lang="el-GR" sz="1100"/>
            </a:p>
          </xdr:txBody>
        </xdr:sp>
      </mc:Fallback>
    </mc:AlternateContent>
    <xdr:clientData/>
  </xdr:oneCellAnchor>
  <xdr:oneCellAnchor>
    <xdr:from>
      <xdr:col>14</xdr:col>
      <xdr:colOff>0</xdr:colOff>
      <xdr:row>0</xdr:row>
      <xdr:rowOff>14287</xdr:rowOff>
    </xdr:from>
    <xdr:ext cx="65" cy="187872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4D73C58-6766-42E4-89C3-08096C4AA646}"/>
            </a:ext>
          </a:extLst>
        </xdr:cNvPr>
        <xdr:cNvSpPr txBox="1"/>
      </xdr:nvSpPr>
      <xdr:spPr>
        <a:xfrm>
          <a:off x="16589188" y="14287"/>
          <a:ext cx="65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l-GR" sz="12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8</xdr:row>
      <xdr:rowOff>7620</xdr:rowOff>
    </xdr:from>
    <xdr:to>
      <xdr:col>20</xdr:col>
      <xdr:colOff>31750</xdr:colOff>
      <xdr:row>24</xdr:row>
      <xdr:rowOff>211667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A603D-D5ED-446F-94E3-69967E5E3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1028700</xdr:colOff>
      <xdr:row>7</xdr:row>
      <xdr:rowOff>156210</xdr:rowOff>
    </xdr:from>
    <xdr:ext cx="1670139" cy="1912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DF5C17-0A0A-4451-8AA7-6EC5C759853F}"/>
                </a:ext>
              </a:extLst>
            </xdr:cNvPr>
            <xdr:cNvSpPr txBox="1"/>
          </xdr:nvSpPr>
          <xdr:spPr>
            <a:xfrm>
              <a:off x="3573780" y="1642110"/>
              <a:ext cx="1670139" cy="191206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/>
                <a:t> RT60=</a:t>
              </a:r>
              <a:r>
                <a:rPr lang="en-US" sz="1100" baseline="0"/>
                <a:t> r (</a:t>
              </a:r>
              <a14:m>
                <m:oMath xmlns:m="http://schemas.openxmlformats.org/officeDocument/2006/math">
                  <m:r>
                    <a:rPr lang="en-US" sz="1100" i="0">
                      <a:latin typeface="Cambria Math" panose="02040503050406030204" pitchFamily="18" charset="0"/>
                    </a:rPr>
                    <m:t>0.01</m:t>
                  </m:r>
                  <m:r>
                    <a:rPr lang="de-DE" sz="1100" b="0" i="1">
                      <a:latin typeface="Cambria Math" panose="02040503050406030204" pitchFamily="18" charset="0"/>
                    </a:rPr>
                    <m:t>2</m:t>
                  </m:r>
                  <m:rad>
                    <m:radPr>
                      <m:ctrlPr>
                        <a:rPr lang="en-US" sz="1100" i="1">
                          <a:solidFill>
                            <a:srgbClr val="836967"/>
                          </a:solidFill>
                          <a:latin typeface="Cambria Math" panose="02040503050406030204" pitchFamily="18" charset="0"/>
                        </a:rPr>
                      </m:ctrlPr>
                    </m:radPr>
                    <m:deg>
                      <m:r>
                        <a:rPr lang="en-US" sz="1100" i="0">
                          <a:latin typeface="Cambria Math" panose="02040503050406030204" pitchFamily="18" charset="0"/>
                        </a:rPr>
                        <m:t>3</m:t>
                      </m:r>
                    </m:deg>
                    <m:e>
                      <m:r>
                        <a:rPr lang="de-DE" sz="1100" b="0" i="1">
                          <a:latin typeface="Cambria Math" panose="02040503050406030204" pitchFamily="18" charset="0"/>
                        </a:rPr>
                        <m:t>𝑉</m:t>
                      </m:r>
                    </m:e>
                  </m:rad>
                  <m:r>
                    <a:rPr lang="de-DE" sz="1100" b="0" i="1">
                      <a:latin typeface="Cambria Math" panose="02040503050406030204" pitchFamily="18" charset="0"/>
                    </a:rPr>
                    <m:t>+0.107)</m:t>
                  </m:r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DF5C17-0A0A-4451-8AA7-6EC5C759853F}"/>
                </a:ext>
              </a:extLst>
            </xdr:cNvPr>
            <xdr:cNvSpPr txBox="1"/>
          </xdr:nvSpPr>
          <xdr:spPr>
            <a:xfrm>
              <a:off x="3573780" y="1642110"/>
              <a:ext cx="1670139" cy="191206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/>
                <a:t> RT60=</a:t>
              </a:r>
              <a:r>
                <a:rPr lang="en-US" sz="1100" baseline="0"/>
                <a:t> r (</a:t>
              </a:r>
              <a:r>
                <a:rPr lang="en-US" sz="1100" i="0">
                  <a:latin typeface="Cambria Math" panose="02040503050406030204" pitchFamily="18" charset="0"/>
                </a:rPr>
                <a:t>0.01</a:t>
              </a:r>
              <a:r>
                <a:rPr lang="de-DE" sz="1100" b="0" i="0">
                  <a:latin typeface="Cambria Math" panose="02040503050406030204" pitchFamily="18" charset="0"/>
                </a:rPr>
                <a:t>2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∛</a:t>
              </a:r>
              <a:r>
                <a:rPr lang="de-DE" sz="1100" b="0" i="0">
                  <a:latin typeface="Cambria Math" panose="02040503050406030204" pitchFamily="18" charset="0"/>
                </a:rPr>
                <a:t>𝑉+0.107)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503822</xdr:colOff>
      <xdr:row>0</xdr:row>
      <xdr:rowOff>9770</xdr:rowOff>
    </xdr:from>
    <xdr:to>
      <xdr:col>20</xdr:col>
      <xdr:colOff>136623</xdr:colOff>
      <xdr:row>2</xdr:row>
      <xdr:rowOff>76005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39C8E7C-AE5F-4A0D-8EAB-5F329C1C42F7}"/>
                </a:ext>
              </a:extLst>
            </xdr:cNvPr>
            <xdr:cNvSpPr txBox="1"/>
          </xdr:nvSpPr>
          <xdr:spPr>
            <a:xfrm>
              <a:off x="7889360" y="703385"/>
              <a:ext cx="5084032" cy="457005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b="0" i="1">
                        <a:latin typeface="Cambria Math" panose="02040503050406030204" pitchFamily="18" charset="0"/>
                      </a:rPr>
                      <m:t>𝑅𝑇</m:t>
                    </m:r>
                    <m:r>
                      <a:rPr lang="de-DE" sz="1100" b="0" i="1" baseline="-25000">
                        <a:latin typeface="Cambria Math" panose="02040503050406030204" pitchFamily="18" charset="0"/>
                      </a:rPr>
                      <m:t>60</m:t>
                    </m:r>
                    <m:r>
                      <a:rPr lang="de-D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0.161∗</m:t>
                        </m:r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num>
                      <m:den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𝑆</m:t>
                        </m:r>
                        <m:r>
                          <a:rPr lang="de-DE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de-DE" sz="1100" b="0" i="0">
                        <a:latin typeface="Cambria Math" panose="02040503050406030204" pitchFamily="18" charset="0"/>
                      </a:rPr>
                      <m:t> ∗( </m:t>
                    </m:r>
                    <m:f>
                      <m:fPr>
                        <m:ctrlPr>
                          <a:rPr lang="de-DE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de-DE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de-DE" sz="1100" b="0" i="1" baseline="-250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𝑍𝑋</m:t>
                        </m:r>
                      </m:num>
                      <m:den>
                        <m:func>
                          <m:funcPr>
                            <m:ctrlPr>
                              <a:rPr lang="en-US" sz="1100" b="0" i="1" baseline="-2500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uncPr>
                          <m:fName/>
                          <m:e/>
                        </m:func>
                        <m:r>
                          <m:rPr>
                            <m:sty m:val="p"/>
                          </m:rPr>
                          <a:rPr lang="en-US" sz="1100" b="0" i="0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ln</m:t>
                        </m:r>
                        <m:d>
                          <m:dPr>
                            <m:ctrlPr>
                              <a:rPr lang="en-US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0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  <m:r>
                              <a:rPr lang="en-US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l-GR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ᾱ</m:t>
                            </m:r>
                            <m:r>
                              <a:rPr lang="de-DE" sz="1100" b="0" i="1" baseline="-2500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𝑍𝑋</m:t>
                            </m:r>
                          </m:e>
                        </m:d>
                        <m:r>
                          <a:rPr lang="de-DE" sz="1100" b="0" i="1" baseline="180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de-DE" sz="1100" b="0" i="1" baseline="300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de-DE" sz="1100" b="0" i="0">
                        <a:latin typeface="Cambria Math" panose="02040503050406030204" pitchFamily="18" charset="0"/>
                      </a:rPr>
                      <m:t>  +  </m:t>
                    </m:r>
                    <m:f>
                      <m:fPr>
                        <m:ctrlPr>
                          <a:rPr lang="de-DE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de-DE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de-DE" sz="1100" b="0" i="1" baseline="-250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𝑌𝑍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100" b="0" i="0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ln</m:t>
                        </m:r>
                        <m:r>
                          <a:rPr lang="en-US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(1</m:t>
                        </m:r>
                        <m:func>
                          <m:funcPr>
                            <m:ctrlPr>
                              <a:rPr lang="en-US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uncPr>
                          <m:fName>
                            <m:r>
                              <a:rPr lang="en-US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</m:fName>
                          <m:e>
                            <m:r>
                              <a:rPr lang="el-GR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ᾱ</m:t>
                            </m:r>
                            <m:r>
                              <a:rPr lang="de-DE" sz="1100" b="0" i="1" baseline="-2500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𝑌𝑍</m:t>
                            </m:r>
                            <m:r>
                              <a:rPr lang="en-US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  <m:r>
                              <a:rPr lang="de-DE" sz="1100" b="0" i="1" baseline="1800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de-DE" sz="1100" b="0" i="1" baseline="3000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e>
                        </m:func>
                      </m:den>
                    </m:f>
                    <m:r>
                      <a:rPr lang="de-DE" sz="1100" b="0" i="0">
                        <a:latin typeface="Cambria Math" panose="02040503050406030204" pitchFamily="18" charset="0"/>
                      </a:rPr>
                      <m:t> +  </m:t>
                    </m:r>
                    <m:f>
                      <m:fPr>
                        <m:ctrlPr>
                          <a:rPr lang="de-DE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de-DE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de-DE" sz="1100" b="0" i="1" baseline="-250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𝑋𝑌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100" b="0" i="0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ln</m:t>
                        </m:r>
                        <m:d>
                          <m:dPr>
                            <m:ctrlPr>
                              <a:rPr lang="en-US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  <m:func>
                              <m:funcPr>
                                <m:ctrlPr>
                                  <a:rPr lang="en-US" sz="1100" b="0" i="1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uncPr>
                              <m:fName>
                                <m:r>
                                  <a:rPr lang="en-US" sz="1100" b="0" i="1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 </m:t>
                                </m:r>
                              </m:fName>
                              <m:e>
                                <m:r>
                                  <a:rPr lang="el-GR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ᾱ</m:t>
                                </m:r>
                                <m:r>
                                  <a:rPr lang="en-US" sz="1100" b="0" i="1" baseline="-2500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𝑋𝑌</m:t>
                                </m:r>
                              </m:e>
                            </m:func>
                          </m:e>
                        </m:d>
                        <m:r>
                          <a:rPr lang="de-DE" sz="1100" b="0" i="1" baseline="180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de-DE" sz="1100" b="0" i="1" baseline="300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de-DE" sz="1100" b="0" i="0">
                        <a:latin typeface="Cambria Math" panose="02040503050406030204" pitchFamily="18" charset="0"/>
                      </a:rPr>
                      <m:t>    )</m:t>
                    </m:r>
                  </m:oMath>
                </m:oMathPara>
              </a14:m>
              <a:endParaRPr lang="x-none" sz="1100" baseline="-250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39C8E7C-AE5F-4A0D-8EAB-5F329C1C42F7}"/>
                </a:ext>
              </a:extLst>
            </xdr:cNvPr>
            <xdr:cNvSpPr txBox="1"/>
          </xdr:nvSpPr>
          <xdr:spPr>
            <a:xfrm>
              <a:off x="7889360" y="703385"/>
              <a:ext cx="5084032" cy="457005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de-DE" sz="1100" b="0" i="0">
                  <a:latin typeface="Cambria Math" panose="02040503050406030204" pitchFamily="18" charset="0"/>
                </a:rPr>
                <a:t>𝑅𝑇</a:t>
              </a:r>
              <a:r>
                <a:rPr lang="de-DE" sz="1100" b="0" i="0" baseline="-25000">
                  <a:latin typeface="Cambria Math" panose="02040503050406030204" pitchFamily="18" charset="0"/>
                </a:rPr>
                <a:t>60</a:t>
              </a:r>
              <a:r>
                <a:rPr lang="de-DE" sz="1100" b="0" i="0">
                  <a:latin typeface="Cambria Math" panose="02040503050406030204" pitchFamily="18" charset="0"/>
                </a:rPr>
                <a:t>=(0.161∗𝑉)/𝑆</a:t>
              </a:r>
              <a:r>
                <a:rPr lang="de-DE" sz="1100" b="0" i="0" baseline="30000">
                  <a:latin typeface="Cambria Math" panose="02040503050406030204" pitchFamily="18" charset="0"/>
                </a:rPr>
                <a:t>2 </a:t>
              </a:r>
              <a:r>
                <a:rPr lang="de-DE" sz="1100" b="0" i="0">
                  <a:latin typeface="Cambria Math" panose="02040503050406030204" pitchFamily="18" charset="0"/>
                </a:rPr>
                <a:t> ∗( </a:t>
              </a:r>
              <a:r>
                <a:rPr lang="de-D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𝑆</a:t>
              </a:r>
              <a:r>
                <a:rPr lang="de-DE" sz="1100" b="0" i="0" baseline="-25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𝑍𝑋/(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⁡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ln(1−</a:t>
              </a:r>
              <a:r>
                <a:rPr lang="el-GR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ᾱ</a:t>
              </a:r>
              <a:r>
                <a:rPr lang="de-DE" sz="1100" b="0" i="0" baseline="-25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𝑍𝑋)</a:t>
              </a:r>
              <a:r>
                <a:rPr lang="de-DE" sz="1100" b="0" i="0" baseline="18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de-DE" sz="1100" b="0" i="0" baseline="30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1) </a:t>
              </a:r>
              <a:r>
                <a:rPr lang="de-DE" sz="1100" b="0" i="0">
                  <a:latin typeface="Cambria Math" panose="02040503050406030204" pitchFamily="18" charset="0"/>
                </a:rPr>
                <a:t>  +  </a:t>
              </a:r>
              <a:r>
                <a:rPr lang="de-D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𝑆</a:t>
              </a:r>
              <a:r>
                <a:rPr lang="de-DE" sz="1100" b="0" i="0" baseline="-25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𝑌𝑍/(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ln(1 −⁡〖</a:t>
              </a:r>
              <a:r>
                <a:rPr lang="el-GR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ᾱ</a:t>
              </a:r>
              <a:r>
                <a:rPr lang="de-DE" sz="1100" b="0" i="0" baseline="-25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𝑌𝑍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de-DE" sz="1100" b="0" i="0" baseline="18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de-DE" sz="1100" b="0" i="0" baseline="30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</a:t>
              </a:r>
              <a:r>
                <a:rPr lang="de-DE" sz="1100" b="0" i="0" baseline="30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 </a:t>
              </a:r>
              <a:r>
                <a:rPr lang="de-DE" sz="1100" b="0" i="0">
                  <a:latin typeface="Cambria Math" panose="02040503050406030204" pitchFamily="18" charset="0"/>
                </a:rPr>
                <a:t> +  </a:t>
              </a:r>
              <a:r>
                <a:rPr lang="de-D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𝑆</a:t>
              </a:r>
              <a:r>
                <a:rPr lang="de-DE" sz="1100" b="0" i="0" baseline="-25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𝑋𝑌/(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ln(1 〖− 〗⁡</a:t>
              </a:r>
              <a:r>
                <a:rPr lang="el-GR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ᾱ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𝑋𝑌 )</a:t>
              </a:r>
              <a:r>
                <a:rPr lang="de-DE" sz="1100" b="0" i="0" baseline="18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de-DE" sz="1100" b="0" i="0" baseline="30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1) </a:t>
              </a:r>
              <a:r>
                <a:rPr lang="de-DE" sz="1100" b="0" i="0">
                  <a:latin typeface="Cambria Math" panose="02040503050406030204" pitchFamily="18" charset="0"/>
                </a:rPr>
                <a:t>    )</a:t>
              </a:r>
              <a:endParaRPr lang="x-none" sz="1100" baseline="-25000"/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zoomScale="85" zoomScaleNormal="85" workbookViewId="0">
      <selection activeCell="A4" sqref="A4:G4"/>
    </sheetView>
  </sheetViews>
  <sheetFormatPr defaultRowHeight="14.5" x14ac:dyDescent="0.35"/>
  <cols>
    <col min="1" max="9" width="9.26953125" customWidth="1"/>
    <col min="10" max="13" width="10.26953125" customWidth="1"/>
  </cols>
  <sheetData>
    <row r="1" spans="1:13" x14ac:dyDescent="0.35">
      <c r="H1" s="36" t="s">
        <v>42</v>
      </c>
      <c r="I1" s="37"/>
      <c r="J1" s="37"/>
      <c r="K1" s="37"/>
      <c r="L1" s="37"/>
      <c r="M1" s="38"/>
    </row>
    <row r="2" spans="1:13" x14ac:dyDescent="0.35">
      <c r="A2" s="36" t="s">
        <v>0</v>
      </c>
      <c r="B2" s="37"/>
      <c r="C2" s="37"/>
      <c r="D2" s="37"/>
      <c r="E2" s="37"/>
      <c r="F2" s="37"/>
      <c r="G2" s="38"/>
      <c r="H2" s="15" t="s">
        <v>33</v>
      </c>
      <c r="I2" s="15" t="s">
        <v>34</v>
      </c>
      <c r="J2" s="15" t="s">
        <v>35</v>
      </c>
      <c r="K2" s="15" t="s">
        <v>36</v>
      </c>
      <c r="L2" s="15" t="s">
        <v>37</v>
      </c>
      <c r="M2" s="15" t="s">
        <v>38</v>
      </c>
    </row>
    <row r="3" spans="1:13" hidden="1" x14ac:dyDescent="0.35">
      <c r="A3" s="36" t="s">
        <v>0</v>
      </c>
      <c r="B3" s="37"/>
      <c r="C3" s="37"/>
      <c r="D3" s="37"/>
      <c r="E3" s="37"/>
      <c r="F3" s="37"/>
      <c r="G3" s="38"/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</row>
    <row r="4" spans="1:13" x14ac:dyDescent="0.35">
      <c r="A4" s="36" t="s">
        <v>65</v>
      </c>
      <c r="B4" s="37"/>
      <c r="C4" s="37"/>
      <c r="D4" s="37"/>
      <c r="E4" s="37"/>
      <c r="F4" s="37"/>
      <c r="G4" s="38"/>
      <c r="H4" s="15">
        <v>0.01</v>
      </c>
      <c r="I4" s="15">
        <v>0.02</v>
      </c>
      <c r="J4" s="15">
        <v>0.04</v>
      </c>
      <c r="K4" s="15">
        <v>0.06</v>
      </c>
      <c r="L4" s="15">
        <v>0.08</v>
      </c>
      <c r="M4" s="15">
        <v>0.1</v>
      </c>
    </row>
    <row r="5" spans="1:13" x14ac:dyDescent="0.35">
      <c r="A5" s="36" t="s">
        <v>66</v>
      </c>
      <c r="B5" s="37"/>
      <c r="C5" s="37"/>
      <c r="D5" s="37"/>
      <c r="E5" s="37"/>
      <c r="F5" s="37"/>
      <c r="G5" s="38"/>
      <c r="H5" s="15">
        <v>0.01</v>
      </c>
      <c r="I5" s="15">
        <v>0.02</v>
      </c>
      <c r="J5" s="15">
        <v>0.02</v>
      </c>
      <c r="K5" s="15">
        <v>0.02</v>
      </c>
      <c r="L5" s="15">
        <v>0.02</v>
      </c>
      <c r="M5" s="15">
        <v>0.02</v>
      </c>
    </row>
    <row r="6" spans="1:13" x14ac:dyDescent="0.35">
      <c r="A6" s="36" t="s">
        <v>69</v>
      </c>
      <c r="B6" s="37"/>
      <c r="C6" s="37"/>
      <c r="D6" s="37"/>
      <c r="E6" s="37"/>
      <c r="F6" s="37"/>
      <c r="G6" s="38"/>
      <c r="H6" s="15">
        <v>0.01</v>
      </c>
      <c r="I6" s="15">
        <v>0.01</v>
      </c>
      <c r="J6" s="15">
        <v>0.01</v>
      </c>
      <c r="K6" s="15">
        <v>0.01</v>
      </c>
      <c r="L6" s="15">
        <v>0.02</v>
      </c>
      <c r="M6" s="15">
        <v>0.02</v>
      </c>
    </row>
    <row r="7" spans="1:13" x14ac:dyDescent="0.35">
      <c r="A7" s="36" t="s">
        <v>67</v>
      </c>
      <c r="B7" s="37"/>
      <c r="C7" s="37"/>
      <c r="D7" s="37"/>
      <c r="E7" s="37"/>
      <c r="F7" s="37"/>
      <c r="G7" s="38"/>
      <c r="H7" s="15">
        <v>0.04</v>
      </c>
      <c r="I7" s="15">
        <v>0.04</v>
      </c>
      <c r="J7" s="15">
        <v>7.0000000000000007E-2</v>
      </c>
      <c r="K7" s="15">
        <v>0.06</v>
      </c>
      <c r="L7" s="15">
        <v>0.06</v>
      </c>
      <c r="M7" s="15">
        <v>7.0000000000000007E-2</v>
      </c>
    </row>
    <row r="8" spans="1:13" x14ac:dyDescent="0.35">
      <c r="A8" s="36" t="s">
        <v>1</v>
      </c>
      <c r="B8" s="37"/>
      <c r="C8" s="37"/>
      <c r="D8" s="37"/>
      <c r="E8" s="37"/>
      <c r="F8" s="37"/>
      <c r="G8" s="38"/>
      <c r="H8" s="15">
        <v>0.4</v>
      </c>
      <c r="I8" s="15">
        <v>0.55000000000000004</v>
      </c>
      <c r="J8" s="15">
        <v>0.8</v>
      </c>
      <c r="K8" s="15">
        <v>0.95</v>
      </c>
      <c r="L8" s="15">
        <v>0.9</v>
      </c>
      <c r="M8" s="15">
        <v>0.85</v>
      </c>
    </row>
    <row r="9" spans="1:13" x14ac:dyDescent="0.35">
      <c r="A9" s="36" t="s">
        <v>2</v>
      </c>
      <c r="B9" s="37"/>
      <c r="C9" s="37"/>
      <c r="D9" s="37"/>
      <c r="E9" s="37"/>
      <c r="F9" s="37"/>
      <c r="G9" s="38"/>
      <c r="H9" s="15">
        <v>0.2</v>
      </c>
      <c r="I9" s="15">
        <v>0.35</v>
      </c>
      <c r="J9" s="15">
        <v>0.55000000000000004</v>
      </c>
      <c r="K9" s="15">
        <v>0.65</v>
      </c>
      <c r="L9" s="15">
        <v>0.6</v>
      </c>
      <c r="M9" s="15">
        <v>0.6</v>
      </c>
    </row>
    <row r="10" spans="1:13" x14ac:dyDescent="0.35">
      <c r="A10" s="36" t="s">
        <v>3</v>
      </c>
      <c r="B10" s="37"/>
      <c r="C10" s="37"/>
      <c r="D10" s="37"/>
      <c r="E10" s="37"/>
      <c r="F10" s="37"/>
      <c r="G10" s="38"/>
      <c r="H10" s="15">
        <v>0.15</v>
      </c>
      <c r="I10" s="15">
        <v>0.25</v>
      </c>
      <c r="J10" s="15">
        <v>0.35</v>
      </c>
      <c r="K10" s="15">
        <v>0.4</v>
      </c>
      <c r="L10" s="15">
        <v>0.35</v>
      </c>
      <c r="M10" s="15">
        <v>0.35</v>
      </c>
    </row>
    <row r="11" spans="1:13" x14ac:dyDescent="0.35">
      <c r="A11" s="36" t="s">
        <v>5</v>
      </c>
      <c r="B11" s="37"/>
      <c r="C11" s="37"/>
      <c r="D11" s="37"/>
      <c r="E11" s="37"/>
      <c r="F11" s="37"/>
      <c r="G11" s="38"/>
      <c r="H11" s="15">
        <v>7.0000000000000007E-2</v>
      </c>
      <c r="I11" s="15">
        <v>0.17</v>
      </c>
      <c r="J11" s="15">
        <v>0.4</v>
      </c>
      <c r="K11" s="15">
        <v>0.55000000000000004</v>
      </c>
      <c r="L11" s="15">
        <v>0.65</v>
      </c>
      <c r="M11" s="15">
        <v>0.65</v>
      </c>
    </row>
    <row r="12" spans="1:13" x14ac:dyDescent="0.35">
      <c r="A12" s="36" t="s">
        <v>6</v>
      </c>
      <c r="B12" s="37"/>
      <c r="C12" s="37"/>
      <c r="D12" s="37"/>
      <c r="E12" s="37"/>
      <c r="F12" s="37"/>
      <c r="G12" s="38"/>
      <c r="H12" s="15">
        <v>0.1</v>
      </c>
      <c r="I12" s="15">
        <v>0.25</v>
      </c>
      <c r="J12" s="15">
        <v>0.55000000000000004</v>
      </c>
      <c r="K12" s="15">
        <v>0.65</v>
      </c>
      <c r="L12" s="15">
        <v>0.65</v>
      </c>
      <c r="M12" s="15">
        <v>0.6</v>
      </c>
    </row>
    <row r="13" spans="1:13" x14ac:dyDescent="0.35">
      <c r="A13" s="36" t="s">
        <v>61</v>
      </c>
      <c r="B13" s="37"/>
      <c r="C13" s="37"/>
      <c r="D13" s="37"/>
      <c r="E13" s="37"/>
      <c r="F13" s="37"/>
      <c r="G13" s="38"/>
      <c r="H13" s="15">
        <v>0.2</v>
      </c>
      <c r="I13" s="15">
        <v>0.3</v>
      </c>
      <c r="J13" s="15">
        <v>0.45</v>
      </c>
      <c r="K13" s="15">
        <v>0.55000000000000004</v>
      </c>
      <c r="L13" s="15">
        <v>0.45</v>
      </c>
      <c r="M13" s="15">
        <v>0.45</v>
      </c>
    </row>
    <row r="14" spans="1:13" x14ac:dyDescent="0.35">
      <c r="A14" s="36" t="s">
        <v>62</v>
      </c>
      <c r="B14" s="37"/>
      <c r="C14" s="37"/>
      <c r="D14" s="37"/>
      <c r="E14" s="37"/>
      <c r="F14" s="37"/>
      <c r="G14" s="38"/>
      <c r="H14" s="15">
        <v>0.35</v>
      </c>
      <c r="I14" s="15">
        <v>0.45</v>
      </c>
      <c r="J14" s="15">
        <v>0.5</v>
      </c>
      <c r="K14" s="15">
        <v>0.5</v>
      </c>
      <c r="L14" s="15">
        <v>0.45</v>
      </c>
      <c r="M14" s="15">
        <v>0.5</v>
      </c>
    </row>
    <row r="15" spans="1:13" x14ac:dyDescent="0.35">
      <c r="A15" s="36" t="s">
        <v>60</v>
      </c>
      <c r="B15" s="37"/>
      <c r="C15" s="37"/>
      <c r="D15" s="37"/>
      <c r="E15" s="37"/>
      <c r="F15" s="37"/>
      <c r="G15" s="38"/>
      <c r="H15" s="15">
        <v>0.4</v>
      </c>
      <c r="I15" s="15">
        <v>0.45</v>
      </c>
      <c r="J15" s="15">
        <v>0.45</v>
      </c>
      <c r="K15" s="15">
        <v>0.45</v>
      </c>
      <c r="L15" s="15">
        <v>0.45</v>
      </c>
      <c r="M15" s="15">
        <v>0.5</v>
      </c>
    </row>
    <row r="16" spans="1:13" x14ac:dyDescent="0.35">
      <c r="A16" s="36" t="s">
        <v>7</v>
      </c>
      <c r="B16" s="37"/>
      <c r="C16" s="37"/>
      <c r="D16" s="37"/>
      <c r="E16" s="37"/>
      <c r="F16" s="37"/>
      <c r="G16" s="38"/>
      <c r="H16" s="15">
        <v>0.4</v>
      </c>
      <c r="I16" s="15">
        <v>0.5</v>
      </c>
      <c r="J16" s="15">
        <v>0.6</v>
      </c>
      <c r="K16" s="15">
        <v>0.75</v>
      </c>
      <c r="L16" s="15">
        <v>0.7</v>
      </c>
      <c r="M16" s="15">
        <v>0.6</v>
      </c>
    </row>
    <row r="17" spans="1:13" x14ac:dyDescent="0.35">
      <c r="A17" s="36" t="s">
        <v>68</v>
      </c>
      <c r="B17" s="37"/>
      <c r="C17" s="37"/>
      <c r="D17" s="37"/>
      <c r="E17" s="37"/>
      <c r="F17" s="37"/>
      <c r="G17" s="38"/>
      <c r="H17" s="15">
        <v>7.0000000000000007E-2</v>
      </c>
      <c r="I17" s="15">
        <v>0.3</v>
      </c>
      <c r="J17" s="15">
        <v>0.5</v>
      </c>
      <c r="K17" s="15">
        <v>0.75</v>
      </c>
      <c r="L17" s="15">
        <v>0.7</v>
      </c>
      <c r="M17" s="15">
        <v>0.6</v>
      </c>
    </row>
    <row r="18" spans="1:13" x14ac:dyDescent="0.35">
      <c r="A18" s="36" t="s">
        <v>8</v>
      </c>
      <c r="B18" s="37"/>
      <c r="C18" s="37"/>
      <c r="D18" s="37"/>
      <c r="E18" s="37"/>
      <c r="F18" s="37"/>
      <c r="G18" s="38"/>
      <c r="H18" s="15">
        <v>0.4</v>
      </c>
      <c r="I18" s="15">
        <v>0.3</v>
      </c>
      <c r="J18" s="15">
        <v>0.2</v>
      </c>
      <c r="K18" s="15">
        <v>0.17</v>
      </c>
      <c r="L18" s="15">
        <v>0.15</v>
      </c>
      <c r="M18" s="15">
        <v>0.1</v>
      </c>
    </row>
    <row r="19" spans="1:13" x14ac:dyDescent="0.35">
      <c r="A19" s="36" t="s">
        <v>9</v>
      </c>
      <c r="B19" s="37"/>
      <c r="C19" s="37"/>
      <c r="D19" s="37"/>
      <c r="E19" s="37"/>
      <c r="F19" s="37"/>
      <c r="G19" s="38"/>
      <c r="H19" s="15">
        <v>0.3</v>
      </c>
      <c r="I19" s="15">
        <v>0.25</v>
      </c>
      <c r="J19" s="15">
        <v>0.2</v>
      </c>
      <c r="K19" s="15">
        <v>0.17</v>
      </c>
      <c r="L19" s="15">
        <v>0.15</v>
      </c>
      <c r="M19" s="15">
        <v>0.1</v>
      </c>
    </row>
    <row r="20" spans="1:13" x14ac:dyDescent="0.35">
      <c r="A20" s="36" t="s">
        <v>10</v>
      </c>
      <c r="B20" s="37"/>
      <c r="C20" s="37"/>
      <c r="D20" s="37"/>
      <c r="E20" s="37"/>
      <c r="F20" s="37"/>
      <c r="G20" s="38"/>
      <c r="H20" s="15">
        <v>0.6</v>
      </c>
      <c r="I20" s="15">
        <v>0.3</v>
      </c>
      <c r="J20" s="15">
        <v>0.1</v>
      </c>
      <c r="K20" s="15">
        <v>0.09</v>
      </c>
      <c r="L20" s="15">
        <v>0.09</v>
      </c>
      <c r="M20" s="15">
        <v>0.09</v>
      </c>
    </row>
    <row r="21" spans="1:13" x14ac:dyDescent="0.35">
      <c r="A21" s="36" t="s">
        <v>11</v>
      </c>
      <c r="B21" s="37"/>
      <c r="C21" s="37"/>
      <c r="D21" s="37"/>
      <c r="E21" s="37"/>
      <c r="F21" s="37"/>
      <c r="G21" s="38"/>
      <c r="H21" s="15">
        <v>0.14000000000000001</v>
      </c>
      <c r="I21" s="15">
        <v>0.1</v>
      </c>
      <c r="J21" s="15">
        <v>7.0000000000000007E-2</v>
      </c>
      <c r="K21" s="15">
        <v>0.05</v>
      </c>
      <c r="L21" s="15">
        <v>0.05</v>
      </c>
      <c r="M21" s="15">
        <v>0.05</v>
      </c>
    </row>
    <row r="22" spans="1:13" x14ac:dyDescent="0.35">
      <c r="A22" s="36" t="s">
        <v>12</v>
      </c>
      <c r="B22" s="37"/>
      <c r="C22" s="37"/>
      <c r="D22" s="37"/>
      <c r="E22" s="37"/>
      <c r="F22" s="37"/>
      <c r="G22" s="38"/>
      <c r="H22" s="15">
        <v>0.15</v>
      </c>
      <c r="I22" s="15">
        <v>0.11</v>
      </c>
      <c r="J22" s="15">
        <v>0.1</v>
      </c>
      <c r="K22" s="15">
        <v>7.0000000000000007E-2</v>
      </c>
      <c r="L22" s="15">
        <v>0.06</v>
      </c>
      <c r="M22" s="15">
        <v>7.0000000000000007E-2</v>
      </c>
    </row>
    <row r="23" spans="1:13" x14ac:dyDescent="0.35">
      <c r="A23" s="36" t="s">
        <v>13</v>
      </c>
      <c r="B23" s="37"/>
      <c r="C23" s="37"/>
      <c r="D23" s="37"/>
      <c r="E23" s="37"/>
      <c r="F23" s="37"/>
      <c r="G23" s="38"/>
      <c r="H23" s="15">
        <v>0.02</v>
      </c>
      <c r="I23" s="15">
        <v>0.03</v>
      </c>
      <c r="J23" s="15">
        <v>0.03</v>
      </c>
      <c r="K23" s="15">
        <v>0.03</v>
      </c>
      <c r="L23" s="15">
        <v>0.03</v>
      </c>
      <c r="M23" s="15">
        <v>0.02</v>
      </c>
    </row>
    <row r="24" spans="1:13" x14ac:dyDescent="0.35">
      <c r="A24" s="36" t="s">
        <v>14</v>
      </c>
      <c r="B24" s="37"/>
      <c r="C24" s="37"/>
      <c r="D24" s="37"/>
      <c r="E24" s="37"/>
      <c r="F24" s="37"/>
      <c r="G24" s="38"/>
      <c r="H24" s="15">
        <v>0.02</v>
      </c>
      <c r="I24" s="15">
        <v>0.04</v>
      </c>
      <c r="J24" s="15">
        <v>0.05</v>
      </c>
      <c r="K24" s="15">
        <v>0.05</v>
      </c>
      <c r="L24" s="15">
        <v>0.1</v>
      </c>
      <c r="M24" s="15">
        <v>0.05</v>
      </c>
    </row>
    <row r="25" spans="1:13" x14ac:dyDescent="0.35">
      <c r="A25" s="36" t="s">
        <v>15</v>
      </c>
      <c r="B25" s="37"/>
      <c r="C25" s="37"/>
      <c r="D25" s="37"/>
      <c r="E25" s="37"/>
      <c r="F25" s="37"/>
      <c r="G25" s="38"/>
      <c r="H25" s="15">
        <v>0.01</v>
      </c>
      <c r="I25" s="15">
        <v>0.01</v>
      </c>
      <c r="J25" s="15">
        <v>0.02</v>
      </c>
      <c r="K25" s="15">
        <v>0.02</v>
      </c>
      <c r="L25" s="15">
        <v>0.02</v>
      </c>
      <c r="M25" s="15">
        <v>0.02</v>
      </c>
    </row>
    <row r="26" spans="1:13" x14ac:dyDescent="0.35">
      <c r="A26" s="36" t="s">
        <v>22</v>
      </c>
      <c r="B26" s="37"/>
      <c r="C26" s="37"/>
      <c r="D26" s="37"/>
      <c r="E26" s="37"/>
      <c r="F26" s="37"/>
      <c r="G26" s="38"/>
      <c r="H26" s="15">
        <v>0.3</v>
      </c>
      <c r="I26" s="15">
        <v>0.1</v>
      </c>
      <c r="J26" s="15">
        <v>0.05</v>
      </c>
      <c r="K26" s="15">
        <v>0.04</v>
      </c>
      <c r="L26" s="15">
        <v>7.0000000000000007E-2</v>
      </c>
      <c r="M26" s="15">
        <v>0.09</v>
      </c>
    </row>
    <row r="27" spans="1:13" x14ac:dyDescent="0.35">
      <c r="A27" s="36" t="s">
        <v>16</v>
      </c>
      <c r="B27" s="37"/>
      <c r="C27" s="37"/>
      <c r="D27" s="37"/>
      <c r="E27" s="37"/>
      <c r="F27" s="37"/>
      <c r="G27" s="38"/>
      <c r="H27" s="15">
        <v>0.14000000000000001</v>
      </c>
      <c r="I27" s="15">
        <v>0.1</v>
      </c>
      <c r="J27" s="15">
        <v>0.06</v>
      </c>
      <c r="K27" s="15">
        <v>0.04</v>
      </c>
      <c r="L27" s="15">
        <v>0.04</v>
      </c>
      <c r="M27" s="15">
        <v>0.03</v>
      </c>
    </row>
    <row r="28" spans="1:13" x14ac:dyDescent="0.35">
      <c r="A28" s="36" t="s">
        <v>17</v>
      </c>
      <c r="B28" s="37"/>
      <c r="C28" s="37"/>
      <c r="D28" s="37"/>
      <c r="E28" s="37"/>
      <c r="F28" s="37"/>
      <c r="G28" s="38"/>
      <c r="H28" s="15">
        <v>0.3</v>
      </c>
      <c r="I28" s="15">
        <v>0.15</v>
      </c>
      <c r="J28" s="15">
        <v>0.1</v>
      </c>
      <c r="K28" s="15">
        <v>0.04</v>
      </c>
      <c r="L28" s="15">
        <v>0.05</v>
      </c>
      <c r="M28" s="15">
        <v>0.05</v>
      </c>
    </row>
    <row r="29" spans="1:13" x14ac:dyDescent="0.35">
      <c r="A29" s="36" t="s">
        <v>18</v>
      </c>
      <c r="B29" s="37"/>
      <c r="C29" s="37"/>
      <c r="D29" s="37"/>
      <c r="E29" s="37"/>
      <c r="F29" s="37"/>
      <c r="G29" s="38"/>
      <c r="H29" s="15">
        <v>0.14000000000000001</v>
      </c>
      <c r="I29" s="15">
        <v>0.1</v>
      </c>
      <c r="J29" s="15">
        <v>7.0000000000000007E-2</v>
      </c>
      <c r="K29" s="15">
        <v>0.05</v>
      </c>
      <c r="L29" s="15">
        <v>0.05</v>
      </c>
      <c r="M29" s="15">
        <v>0.05</v>
      </c>
    </row>
    <row r="30" spans="1:13" x14ac:dyDescent="0.35">
      <c r="A30" s="36" t="s">
        <v>19</v>
      </c>
      <c r="B30" s="37"/>
      <c r="C30" s="37"/>
      <c r="D30" s="37"/>
      <c r="E30" s="37"/>
      <c r="F30" s="37"/>
      <c r="G30" s="38"/>
      <c r="H30" s="15">
        <v>0.18</v>
      </c>
      <c r="I30" s="15">
        <v>0.06</v>
      </c>
      <c r="J30" s="15">
        <v>0.04</v>
      </c>
      <c r="K30" s="15">
        <v>0.03</v>
      </c>
      <c r="L30" s="15">
        <v>0.03</v>
      </c>
      <c r="M30" s="15">
        <v>0.02</v>
      </c>
    </row>
    <row r="31" spans="1:13" x14ac:dyDescent="0.35">
      <c r="A31" s="36" t="s">
        <v>20</v>
      </c>
      <c r="B31" s="37"/>
      <c r="C31" s="37"/>
      <c r="D31" s="37"/>
      <c r="E31" s="37"/>
      <c r="F31" s="37"/>
      <c r="G31" s="38"/>
      <c r="H31" s="15">
        <v>0.35</v>
      </c>
      <c r="I31" s="15">
        <v>2.5000000000000001E-2</v>
      </c>
      <c r="J31" s="15">
        <v>0.18</v>
      </c>
      <c r="K31" s="15">
        <v>0.12</v>
      </c>
      <c r="L31" s="15">
        <v>7.0000000000000007E-2</v>
      </c>
      <c r="M31" s="15">
        <v>0.04</v>
      </c>
    </row>
    <row r="32" spans="1:13" x14ac:dyDescent="0.35">
      <c r="A32" s="36" t="s">
        <v>21</v>
      </c>
      <c r="B32" s="37"/>
      <c r="C32" s="37"/>
      <c r="D32" s="37"/>
      <c r="E32" s="37"/>
      <c r="F32" s="37"/>
      <c r="G32" s="38"/>
      <c r="H32" s="15">
        <v>0.03</v>
      </c>
      <c r="I32" s="15">
        <v>0.03</v>
      </c>
      <c r="J32" s="15">
        <v>0.03</v>
      </c>
      <c r="K32" s="15">
        <v>0.04</v>
      </c>
      <c r="L32" s="15">
        <v>0.05</v>
      </c>
      <c r="M32" s="15">
        <v>7.0000000000000007E-2</v>
      </c>
    </row>
    <row r="33" spans="1:13" x14ac:dyDescent="0.35">
      <c r="A33" s="36" t="s">
        <v>23</v>
      </c>
      <c r="B33" s="37"/>
      <c r="C33" s="37"/>
      <c r="D33" s="37"/>
      <c r="E33" s="37"/>
      <c r="F33" s="37"/>
      <c r="G33" s="38"/>
      <c r="H33" s="15">
        <v>0.01</v>
      </c>
      <c r="I33" s="15">
        <v>0.02</v>
      </c>
      <c r="J33" s="15">
        <v>0.02</v>
      </c>
      <c r="K33" s="15">
        <v>0.03</v>
      </c>
      <c r="L33" s="15">
        <v>0.04</v>
      </c>
      <c r="M33" s="15">
        <v>0.05</v>
      </c>
    </row>
    <row r="34" spans="1:13" x14ac:dyDescent="0.35">
      <c r="A34" s="36" t="s">
        <v>24</v>
      </c>
      <c r="B34" s="37"/>
      <c r="C34" s="37"/>
      <c r="D34" s="37"/>
      <c r="E34" s="37"/>
      <c r="F34" s="37"/>
      <c r="G34" s="38"/>
      <c r="H34" s="15">
        <v>0.35</v>
      </c>
      <c r="I34" s="15">
        <v>0.45</v>
      </c>
      <c r="J34" s="15">
        <v>0.3</v>
      </c>
      <c r="K34" s="15">
        <v>0.3</v>
      </c>
      <c r="L34" s="15">
        <v>0.4</v>
      </c>
      <c r="M34" s="15">
        <v>0.25</v>
      </c>
    </row>
    <row r="35" spans="1:13" x14ac:dyDescent="0.35">
      <c r="A35" s="36" t="s">
        <v>25</v>
      </c>
      <c r="B35" s="37"/>
      <c r="C35" s="37"/>
      <c r="D35" s="37"/>
      <c r="E35" s="37"/>
      <c r="F35" s="37"/>
      <c r="G35" s="38"/>
      <c r="H35" s="15">
        <v>0.1</v>
      </c>
      <c r="I35" s="15">
        <v>0.05</v>
      </c>
      <c r="J35" s="15">
        <v>0.06</v>
      </c>
      <c r="K35" s="15">
        <v>7.0000000000000007E-2</v>
      </c>
      <c r="L35" s="15">
        <v>0.09</v>
      </c>
      <c r="M35" s="15">
        <v>0.08</v>
      </c>
    </row>
    <row r="36" spans="1:13" x14ac:dyDescent="0.35">
      <c r="A36" s="36" t="s">
        <v>26</v>
      </c>
      <c r="B36" s="37"/>
      <c r="C36" s="37"/>
      <c r="D36" s="37"/>
      <c r="E36" s="37"/>
      <c r="F36" s="37"/>
      <c r="G36" s="38"/>
      <c r="H36" s="15">
        <v>0.12</v>
      </c>
      <c r="I36" s="15">
        <v>0.09</v>
      </c>
      <c r="J36" s="15">
        <v>7.0000000000000007E-2</v>
      </c>
      <c r="K36" s="15">
        <v>0.05</v>
      </c>
      <c r="L36" s="15">
        <v>0.05</v>
      </c>
      <c r="M36" s="15">
        <v>0.04</v>
      </c>
    </row>
    <row r="37" spans="1:13" x14ac:dyDescent="0.35">
      <c r="A37" s="36" t="s">
        <v>27</v>
      </c>
      <c r="B37" s="37"/>
      <c r="C37" s="37"/>
      <c r="D37" s="37"/>
      <c r="E37" s="37"/>
      <c r="F37" s="37"/>
      <c r="G37" s="38"/>
      <c r="H37" s="15">
        <v>0.1</v>
      </c>
      <c r="I37" s="15">
        <v>0.9</v>
      </c>
      <c r="J37" s="15">
        <v>0.5</v>
      </c>
      <c r="K37" s="15">
        <v>0.45</v>
      </c>
      <c r="L37" s="15">
        <v>0.45</v>
      </c>
      <c r="M37" s="15">
        <v>0.4</v>
      </c>
    </row>
    <row r="38" spans="1:13" x14ac:dyDescent="0.35">
      <c r="A38" s="36" t="s">
        <v>28</v>
      </c>
      <c r="B38" s="37"/>
      <c r="C38" s="37"/>
      <c r="D38" s="37"/>
      <c r="E38" s="37"/>
      <c r="F38" s="37"/>
      <c r="G38" s="38"/>
      <c r="H38" s="15">
        <v>0.2</v>
      </c>
      <c r="I38" s="15">
        <v>0.9</v>
      </c>
      <c r="J38" s="15">
        <v>0.9</v>
      </c>
      <c r="K38" s="15">
        <v>0.9</v>
      </c>
      <c r="L38" s="15">
        <v>0.85</v>
      </c>
      <c r="M38" s="15">
        <v>0.85</v>
      </c>
    </row>
    <row r="39" spans="1:13" x14ac:dyDescent="0.35">
      <c r="A39" s="36" t="s">
        <v>29</v>
      </c>
      <c r="B39" s="37"/>
      <c r="C39" s="37"/>
      <c r="D39" s="37"/>
      <c r="E39" s="37"/>
      <c r="F39" s="37"/>
      <c r="G39" s="38"/>
      <c r="H39" s="15">
        <v>0.08</v>
      </c>
      <c r="I39" s="15">
        <v>0.25</v>
      </c>
      <c r="J39" s="15">
        <v>0.45</v>
      </c>
      <c r="K39" s="15">
        <v>0.75</v>
      </c>
      <c r="L39" s="15">
        <v>0.75</v>
      </c>
      <c r="M39" s="15">
        <v>0.65</v>
      </c>
    </row>
    <row r="40" spans="1:13" x14ac:dyDescent="0.35">
      <c r="A40" s="36" t="s">
        <v>30</v>
      </c>
      <c r="B40" s="37"/>
      <c r="C40" s="37"/>
      <c r="D40" s="37"/>
      <c r="E40" s="37"/>
      <c r="F40" s="37"/>
      <c r="G40" s="38"/>
      <c r="H40" s="15">
        <v>0.21</v>
      </c>
      <c r="I40" s="15">
        <v>0.5</v>
      </c>
      <c r="J40" s="15">
        <v>0.75</v>
      </c>
      <c r="K40" s="15">
        <v>0.9</v>
      </c>
      <c r="L40" s="15">
        <v>0.85</v>
      </c>
      <c r="M40" s="15">
        <v>0.8</v>
      </c>
    </row>
    <row r="41" spans="1:13" x14ac:dyDescent="0.35">
      <c r="A41" s="36" t="s">
        <v>31</v>
      </c>
      <c r="B41" s="37"/>
      <c r="C41" s="37"/>
      <c r="D41" s="37"/>
      <c r="E41" s="37"/>
      <c r="F41" s="37"/>
      <c r="G41" s="38"/>
      <c r="H41" s="15">
        <v>0.35</v>
      </c>
      <c r="I41" s="15">
        <v>0.65</v>
      </c>
      <c r="J41" s="15">
        <v>0.8</v>
      </c>
      <c r="K41" s="15">
        <v>0.9</v>
      </c>
      <c r="L41" s="15">
        <v>0.85</v>
      </c>
      <c r="M41" s="15">
        <v>0.8</v>
      </c>
    </row>
    <row r="42" spans="1:13" x14ac:dyDescent="0.35">
      <c r="A42" s="36" t="s">
        <v>63</v>
      </c>
      <c r="B42" s="37"/>
      <c r="C42" s="37"/>
      <c r="D42" s="37"/>
      <c r="E42" s="37"/>
      <c r="F42" s="37"/>
      <c r="G42" s="38"/>
      <c r="H42" s="15">
        <v>0.01</v>
      </c>
      <c r="I42" s="15">
        <v>0.02</v>
      </c>
      <c r="J42" s="15">
        <v>0.06</v>
      </c>
      <c r="K42" s="15">
        <v>0.15</v>
      </c>
      <c r="L42" s="15">
        <v>0.25</v>
      </c>
      <c r="M42" s="15">
        <v>0.45</v>
      </c>
    </row>
    <row r="43" spans="1:13" x14ac:dyDescent="0.35">
      <c r="A43" s="36" t="s">
        <v>64</v>
      </c>
      <c r="B43" s="37"/>
      <c r="C43" s="37"/>
      <c r="D43" s="37"/>
      <c r="E43" s="37"/>
      <c r="F43" s="37"/>
      <c r="G43" s="38"/>
      <c r="H43" s="15">
        <v>0.08</v>
      </c>
      <c r="I43" s="15">
        <v>0.25</v>
      </c>
      <c r="J43" s="15">
        <v>0.55000000000000004</v>
      </c>
      <c r="K43" s="15">
        <v>0.7</v>
      </c>
      <c r="L43" s="15">
        <v>0.7</v>
      </c>
      <c r="M43" s="15">
        <v>0.75</v>
      </c>
    </row>
    <row r="44" spans="1:13" x14ac:dyDescent="0.35">
      <c r="A44" s="36" t="s">
        <v>4</v>
      </c>
      <c r="B44" s="37"/>
      <c r="C44" s="37"/>
      <c r="D44" s="37"/>
      <c r="E44" s="37"/>
      <c r="F44" s="37"/>
      <c r="G44" s="38"/>
      <c r="H44" s="15">
        <v>0.02</v>
      </c>
      <c r="I44" s="15">
        <v>0.06</v>
      </c>
      <c r="J44" s="15">
        <v>0.14000000000000001</v>
      </c>
      <c r="K44" s="15">
        <v>0.35</v>
      </c>
      <c r="L44" s="15">
        <v>0.6</v>
      </c>
      <c r="M44" s="15">
        <v>0.65</v>
      </c>
    </row>
    <row r="45" spans="1:13" x14ac:dyDescent="0.35">
      <c r="A45" s="36" t="s">
        <v>32</v>
      </c>
      <c r="B45" s="37"/>
      <c r="C45" s="37"/>
      <c r="D45" s="37"/>
      <c r="E45" s="37"/>
      <c r="F45" s="37"/>
      <c r="G45" s="38"/>
      <c r="H45" s="15">
        <v>0.45</v>
      </c>
      <c r="I45" s="15">
        <v>0.9</v>
      </c>
      <c r="J45" s="15">
        <v>0.95</v>
      </c>
      <c r="K45" s="15">
        <v>1</v>
      </c>
      <c r="L45" s="15">
        <v>0.95</v>
      </c>
      <c r="M45" s="15">
        <v>0.85</v>
      </c>
    </row>
    <row r="46" spans="1:13" x14ac:dyDescent="0.35">
      <c r="H46" s="12"/>
      <c r="I46" s="13"/>
      <c r="J46" s="13"/>
      <c r="K46" s="13"/>
      <c r="L46" s="13"/>
      <c r="M46" s="14"/>
    </row>
    <row r="47" spans="1:13" x14ac:dyDescent="0.35">
      <c r="H47" s="36" t="s">
        <v>41</v>
      </c>
      <c r="I47" s="37"/>
      <c r="J47" s="37"/>
      <c r="K47" s="37"/>
      <c r="L47" s="37"/>
      <c r="M47" s="38"/>
    </row>
    <row r="48" spans="1:13" x14ac:dyDescent="0.35">
      <c r="A48" s="36" t="s">
        <v>0</v>
      </c>
      <c r="B48" s="37"/>
      <c r="C48" s="37"/>
      <c r="D48" s="37"/>
      <c r="E48" s="37"/>
      <c r="F48" s="37"/>
      <c r="G48" s="38"/>
      <c r="H48" s="15" t="s">
        <v>33</v>
      </c>
      <c r="I48" s="15" t="s">
        <v>34</v>
      </c>
      <c r="J48" s="15" t="s">
        <v>35</v>
      </c>
      <c r="K48" s="15" t="s">
        <v>36</v>
      </c>
      <c r="L48" s="15" t="s">
        <v>37</v>
      </c>
      <c r="M48" s="15" t="s">
        <v>38</v>
      </c>
    </row>
    <row r="49" spans="1:13" hidden="1" x14ac:dyDescent="0.35">
      <c r="A49" s="36" t="s">
        <v>0</v>
      </c>
      <c r="B49" s="37"/>
      <c r="C49" s="37"/>
      <c r="D49" s="37"/>
      <c r="E49" s="37"/>
      <c r="F49" s="37"/>
      <c r="G49" s="38"/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</row>
    <row r="50" spans="1:13" x14ac:dyDescent="0.35">
      <c r="A50" s="36" t="s">
        <v>39</v>
      </c>
      <c r="B50" s="37"/>
      <c r="C50" s="37"/>
      <c r="D50" s="37"/>
      <c r="E50" s="37"/>
      <c r="F50" s="37"/>
      <c r="G50" s="38"/>
      <c r="H50" s="15">
        <v>0.4</v>
      </c>
      <c r="I50" s="15">
        <v>0.7</v>
      </c>
      <c r="J50" s="15">
        <v>0.85</v>
      </c>
      <c r="K50" s="15">
        <v>0.95</v>
      </c>
      <c r="L50" s="15">
        <v>0.9</v>
      </c>
      <c r="M50" s="15">
        <v>0.8</v>
      </c>
    </row>
    <row r="51" spans="1:13" x14ac:dyDescent="0.35">
      <c r="A51" s="36" t="s">
        <v>40</v>
      </c>
      <c r="B51" s="37"/>
      <c r="C51" s="37"/>
      <c r="D51" s="37"/>
      <c r="E51" s="37"/>
      <c r="F51" s="37"/>
      <c r="G51" s="38"/>
      <c r="H51" s="15">
        <v>0.02</v>
      </c>
      <c r="I51" s="15">
        <v>0.03</v>
      </c>
      <c r="J51" s="15">
        <v>0.05</v>
      </c>
      <c r="K51" s="15">
        <v>0.08</v>
      </c>
      <c r="L51" s="15">
        <v>0.08</v>
      </c>
      <c r="M51" s="15">
        <v>0.05</v>
      </c>
    </row>
  </sheetData>
  <mergeCells count="50">
    <mergeCell ref="A49:G49"/>
    <mergeCell ref="H47:M47"/>
    <mergeCell ref="A16:G16"/>
    <mergeCell ref="A17:G17"/>
    <mergeCell ref="A18:G18"/>
    <mergeCell ref="A19:G19"/>
    <mergeCell ref="A20:G20"/>
    <mergeCell ref="A21:G21"/>
    <mergeCell ref="A22:G22"/>
    <mergeCell ref="A30:G30"/>
    <mergeCell ref="A43:G43"/>
    <mergeCell ref="A37:G37"/>
    <mergeCell ref="A31:G31"/>
    <mergeCell ref="A28:G28"/>
    <mergeCell ref="A29:G29"/>
    <mergeCell ref="A2:G2"/>
    <mergeCell ref="A8:G8"/>
    <mergeCell ref="A9:G9"/>
    <mergeCell ref="A10:G10"/>
    <mergeCell ref="A12:G12"/>
    <mergeCell ref="A4:G4"/>
    <mergeCell ref="A6:G6"/>
    <mergeCell ref="A11:G11"/>
    <mergeCell ref="A5:G5"/>
    <mergeCell ref="A7:G7"/>
    <mergeCell ref="A3:G3"/>
    <mergeCell ref="H1:M1"/>
    <mergeCell ref="A50:G50"/>
    <mergeCell ref="A51:G51"/>
    <mergeCell ref="A38:G38"/>
    <mergeCell ref="A39:G39"/>
    <mergeCell ref="A40:G40"/>
    <mergeCell ref="A41:G41"/>
    <mergeCell ref="A45:G45"/>
    <mergeCell ref="A48:G48"/>
    <mergeCell ref="A32:G32"/>
    <mergeCell ref="A33:G33"/>
    <mergeCell ref="A34:G34"/>
    <mergeCell ref="A35:G35"/>
    <mergeCell ref="A36:G36"/>
    <mergeCell ref="A42:G42"/>
    <mergeCell ref="A44:G44"/>
    <mergeCell ref="A13:G13"/>
    <mergeCell ref="A14:G14"/>
    <mergeCell ref="A25:G25"/>
    <mergeCell ref="A26:G26"/>
    <mergeCell ref="A27:G27"/>
    <mergeCell ref="A23:G23"/>
    <mergeCell ref="A24:G24"/>
    <mergeCell ref="A15:G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5"/>
  <sheetViews>
    <sheetView tabSelected="1" zoomScale="72" zoomScaleNormal="72" workbookViewId="0">
      <selection activeCell="A7" sqref="A7"/>
    </sheetView>
  </sheetViews>
  <sheetFormatPr defaultRowHeight="14.5" x14ac:dyDescent="0.35"/>
  <cols>
    <col min="1" max="1" width="19.26953125" customWidth="1"/>
    <col min="2" max="8" width="10.26953125" customWidth="1"/>
    <col min="14" max="14" width="10.26953125" customWidth="1"/>
  </cols>
  <sheetData>
    <row r="1" spans="1:16" ht="17.5" customHeight="1" x14ac:dyDescent="0.35">
      <c r="A1" s="44" t="s">
        <v>56</v>
      </c>
      <c r="B1" s="44"/>
      <c r="C1" s="44"/>
      <c r="D1" s="44"/>
      <c r="E1" s="44"/>
      <c r="F1" s="44"/>
      <c r="G1" s="44"/>
      <c r="H1" s="45"/>
      <c r="K1" s="46" t="s">
        <v>57</v>
      </c>
      <c r="L1" s="46"/>
      <c r="M1" s="46"/>
      <c r="N1" s="46"/>
      <c r="O1" s="46"/>
      <c r="P1" s="46"/>
    </row>
    <row r="2" spans="1:16" ht="17.5" customHeight="1" x14ac:dyDescent="0.35">
      <c r="A2" s="39" t="s">
        <v>46</v>
      </c>
      <c r="B2" s="40"/>
      <c r="C2" s="32">
        <v>250</v>
      </c>
    </row>
    <row r="3" spans="1:16" ht="17.5" customHeight="1" x14ac:dyDescent="0.35">
      <c r="A3" s="6"/>
      <c r="B3" s="7"/>
      <c r="K3" s="41" t="s">
        <v>43</v>
      </c>
      <c r="L3" s="42"/>
      <c r="M3" s="42"/>
      <c r="N3" s="42"/>
      <c r="O3" s="42"/>
      <c r="P3" s="43"/>
    </row>
    <row r="4" spans="1:16" ht="17.5" customHeight="1" x14ac:dyDescent="0.35">
      <c r="A4" s="20" t="s">
        <v>52</v>
      </c>
      <c r="B4" s="1" t="s">
        <v>44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K4" s="2" t="s">
        <v>33</v>
      </c>
      <c r="L4" s="2" t="s">
        <v>34</v>
      </c>
      <c r="M4" s="2" t="s">
        <v>35</v>
      </c>
      <c r="N4" s="2" t="s">
        <v>36</v>
      </c>
      <c r="O4" s="2" t="s">
        <v>37</v>
      </c>
      <c r="P4" s="2" t="s">
        <v>38</v>
      </c>
    </row>
    <row r="5" spans="1:16" ht="17.5" customHeight="1" x14ac:dyDescent="0.35">
      <c r="A5" s="21" t="s">
        <v>65</v>
      </c>
      <c r="B5" s="32">
        <v>30</v>
      </c>
      <c r="C5" s="33">
        <f>INDEX(Properties_Fitzroy!$H$3:$M$45,MATCH(RT60_Fitzroy!$A5,Properties_Fitzroy!$A$3:$A$45,0),MATCH(RT60_Fitzroy!C$4,Properties_Fitzroy!$H$2:$M$2,0))</f>
        <v>0.01</v>
      </c>
      <c r="D5" s="33">
        <f>INDEX(Properties_Fitzroy!$H$3:$M$45,MATCH(RT60_Fitzroy!$A5,Properties_Fitzroy!$A$3:$A$45,0),MATCH(RT60_Fitzroy!D$4,Properties_Fitzroy!$H$2:$M$2,0))</f>
        <v>0.02</v>
      </c>
      <c r="E5" s="33">
        <f>INDEX(Properties_Fitzroy!$H$3:$M$45,MATCH(RT60_Fitzroy!$A5,Properties_Fitzroy!$A$3:$A$45,0),MATCH(RT60_Fitzroy!E$4,Properties_Fitzroy!$H$2:$M$2,0))</f>
        <v>0.04</v>
      </c>
      <c r="F5" s="33">
        <f>INDEX(Properties_Fitzroy!$H$3:$M$45,MATCH(RT60_Fitzroy!$A5,Properties_Fitzroy!$A$3:$A$45,0),MATCH(RT60_Fitzroy!F$4,Properties_Fitzroy!$H$2:$M$2,0))</f>
        <v>0.06</v>
      </c>
      <c r="G5" s="33">
        <f>INDEX(Properties_Fitzroy!$H$3:$M$45,MATCH(RT60_Fitzroy!$A5,Properties_Fitzroy!$A$3:$A$45,0),MATCH(RT60_Fitzroy!G$4,Properties_Fitzroy!$H$2:$M$2,0))</f>
        <v>0.08</v>
      </c>
      <c r="H5" s="33">
        <f>INDEX(Properties_Fitzroy!$H$3:$M$45,MATCH(RT60_Fitzroy!$A5,Properties_Fitzroy!$A$3:$A$45,0),MATCH(RT60_Fitzroy!H$4,Properties_Fitzroy!$H$2:$M$2,0))</f>
        <v>0.1</v>
      </c>
      <c r="K5" s="4">
        <f>Fitzroy_Calculations!N6</f>
        <v>5.2284147750182717</v>
      </c>
      <c r="L5" s="4">
        <f>Fitzroy_Calculations!O6</f>
        <v>17.79078022924875</v>
      </c>
      <c r="M5" s="4">
        <f>Fitzroy_Calculations!P6</f>
        <v>9.7239195027022394</v>
      </c>
      <c r="N5" s="4">
        <f>Fitzroy_Calculations!Q6</f>
        <v>7.5511618825120896</v>
      </c>
      <c r="O5" s="4">
        <f>Fitzroy_Calculations!R6</f>
        <v>5.2648441943406414</v>
      </c>
      <c r="P5" s="4">
        <f>Fitzroy_Calculations!S6</f>
        <v>5.4411138734006004</v>
      </c>
    </row>
    <row r="6" spans="1:16" ht="17.5" customHeight="1" x14ac:dyDescent="0.35">
      <c r="A6" s="21" t="s">
        <v>0</v>
      </c>
      <c r="B6" s="32">
        <v>10</v>
      </c>
      <c r="C6" s="33">
        <f>INDEX(Properties_Fitzroy!$H$3:$M$45,MATCH(RT60_Fitzroy!$A6,Properties_Fitzroy!$A$3:$A$45,0),MATCH(RT60_Fitzroy!C$4,Properties_Fitzroy!$H$2:$M$2,0))</f>
        <v>0</v>
      </c>
      <c r="D6" s="33">
        <f>INDEX(Properties_Fitzroy!$H$3:$M$45,MATCH(RT60_Fitzroy!$A6,Properties_Fitzroy!$A$3:$A$45,0),MATCH(RT60_Fitzroy!D$4,Properties_Fitzroy!$H$2:$M$2,0))</f>
        <v>0</v>
      </c>
      <c r="E6" s="33">
        <f>INDEX(Properties_Fitzroy!$H$3:$M$45,MATCH(RT60_Fitzroy!$A6,Properties_Fitzroy!$A$3:$A$45,0),MATCH(RT60_Fitzroy!E$4,Properties_Fitzroy!$H$2:$M$2,0))</f>
        <v>0</v>
      </c>
      <c r="F6" s="33">
        <f>INDEX(Properties_Fitzroy!$H$3:$M$45,MATCH(RT60_Fitzroy!$A6,Properties_Fitzroy!$A$3:$A$45,0),MATCH(RT60_Fitzroy!F$4,Properties_Fitzroy!$H$2:$M$2,0))</f>
        <v>0</v>
      </c>
      <c r="G6" s="33">
        <f>INDEX(Properties_Fitzroy!$H$3:$M$45,MATCH(RT60_Fitzroy!$A6,Properties_Fitzroy!$A$3:$A$45,0),MATCH(RT60_Fitzroy!G$4,Properties_Fitzroy!$H$2:$M$2,0))</f>
        <v>0</v>
      </c>
      <c r="H6" s="33">
        <f>INDEX(Properties_Fitzroy!$H$3:$M$45,MATCH(RT60_Fitzroy!$A6,Properties_Fitzroy!$A$3:$A$45,0),MATCH(RT60_Fitzroy!H$4,Properties_Fitzroy!$H$2:$M$2,0))</f>
        <v>0</v>
      </c>
    </row>
    <row r="7" spans="1:16" ht="17.5" customHeight="1" x14ac:dyDescent="0.35">
      <c r="A7" s="21" t="s">
        <v>0</v>
      </c>
      <c r="B7" s="32">
        <v>0</v>
      </c>
      <c r="C7" s="33">
        <f>INDEX(Properties_Fitzroy!$H$3:$M$45,MATCH(RT60_Fitzroy!$A7,Properties_Fitzroy!$A$3:$A$45,0),MATCH(RT60_Fitzroy!C$4,Properties_Fitzroy!$H$2:$M$2,0))</f>
        <v>0</v>
      </c>
      <c r="D7" s="33">
        <f>INDEX(Properties_Fitzroy!$H$3:$M$45,MATCH(RT60_Fitzroy!$A7,Properties_Fitzroy!$A$3:$A$45,0),MATCH(RT60_Fitzroy!D$4,Properties_Fitzroy!$H$2:$M$2,0))</f>
        <v>0</v>
      </c>
      <c r="E7" s="33">
        <f>INDEX(Properties_Fitzroy!$H$3:$M$45,MATCH(RT60_Fitzroy!$A7,Properties_Fitzroy!$A$3:$A$45,0),MATCH(RT60_Fitzroy!E$4,Properties_Fitzroy!$H$2:$M$2,0))</f>
        <v>0</v>
      </c>
      <c r="F7" s="33">
        <f>INDEX(Properties_Fitzroy!$H$3:$M$45,MATCH(RT60_Fitzroy!$A7,Properties_Fitzroy!$A$3:$A$45,0),MATCH(RT60_Fitzroy!F$4,Properties_Fitzroy!$H$2:$M$2,0))</f>
        <v>0</v>
      </c>
      <c r="G7" s="33">
        <f>INDEX(Properties_Fitzroy!$H$3:$M$45,MATCH(RT60_Fitzroy!$A7,Properties_Fitzroy!$A$3:$A$45,0),MATCH(RT60_Fitzroy!G$4,Properties_Fitzroy!$H$2:$M$2,0))</f>
        <v>0</v>
      </c>
      <c r="H7" s="33">
        <f>INDEX(Properties_Fitzroy!$H$3:$M$45,MATCH(RT60_Fitzroy!$A7,Properties_Fitzroy!$A$3:$A$45,0),MATCH(RT60_Fitzroy!H$4,Properties_Fitzroy!$H$2:$M$2,0))</f>
        <v>0</v>
      </c>
      <c r="K7" s="2" t="s">
        <v>76</v>
      </c>
      <c r="L7" s="4">
        <f>'Best RT60_Fitzroy'!E10</f>
        <v>0.73038105197476955</v>
      </c>
    </row>
    <row r="8" spans="1:16" ht="17.5" customHeight="1" x14ac:dyDescent="0.35">
      <c r="A8" s="21" t="s">
        <v>67</v>
      </c>
      <c r="B8" s="32">
        <v>0</v>
      </c>
      <c r="C8" s="33">
        <f>INDEX(Properties_Fitzroy!$H$3:$M$45,MATCH(RT60_Fitzroy!$A8,Properties_Fitzroy!$A$3:$A$45,0),MATCH(RT60_Fitzroy!C$4,Properties_Fitzroy!$H$2:$M$2,0))</f>
        <v>0.04</v>
      </c>
      <c r="D8" s="33">
        <f>INDEX(Properties_Fitzroy!$H$3:$M$45,MATCH(RT60_Fitzroy!$A8,Properties_Fitzroy!$A$3:$A$45,0),MATCH(RT60_Fitzroy!D$4,Properties_Fitzroy!$H$2:$M$2,0))</f>
        <v>0.04</v>
      </c>
      <c r="E8" s="33">
        <f>INDEX(Properties_Fitzroy!$H$3:$M$45,MATCH(RT60_Fitzroy!$A8,Properties_Fitzroy!$A$3:$A$45,0),MATCH(RT60_Fitzroy!E$4,Properties_Fitzroy!$H$2:$M$2,0))</f>
        <v>7.0000000000000007E-2</v>
      </c>
      <c r="F8" s="33">
        <f>INDEX(Properties_Fitzroy!$H$3:$M$45,MATCH(RT60_Fitzroy!$A8,Properties_Fitzroy!$A$3:$A$45,0),MATCH(RT60_Fitzroy!F$4,Properties_Fitzroy!$H$2:$M$2,0))</f>
        <v>0.06</v>
      </c>
      <c r="G8" s="33">
        <f>INDEX(Properties_Fitzroy!$H$3:$M$45,MATCH(RT60_Fitzroy!$A8,Properties_Fitzroy!$A$3:$A$45,0),MATCH(RT60_Fitzroy!G$4,Properties_Fitzroy!$H$2:$M$2,0))</f>
        <v>0.06</v>
      </c>
      <c r="H8" s="33">
        <f>INDEX(Properties_Fitzroy!$H$3:$M$45,MATCH(RT60_Fitzroy!$A8,Properties_Fitzroy!$A$3:$A$45,0),MATCH(RT60_Fitzroy!H$4,Properties_Fitzroy!$H$2:$M$2,0))</f>
        <v>7.0000000000000007E-2</v>
      </c>
    </row>
    <row r="9" spans="1:16" ht="17.5" customHeight="1" x14ac:dyDescent="0.35">
      <c r="A9" s="21" t="s">
        <v>0</v>
      </c>
      <c r="B9" s="32">
        <v>0</v>
      </c>
      <c r="C9" s="33">
        <f>INDEX(Properties_Fitzroy!$H$3:$M$45,MATCH(RT60_Fitzroy!$A9,Properties_Fitzroy!$A$3:$A$45,0),MATCH(RT60_Fitzroy!C$4,Properties_Fitzroy!$H$2:$M$2,0))</f>
        <v>0</v>
      </c>
      <c r="D9" s="33">
        <f>INDEX(Properties_Fitzroy!$H$3:$M$45,MATCH(RT60_Fitzroy!$A9,Properties_Fitzroy!$A$3:$A$45,0),MATCH(RT60_Fitzroy!D$4,Properties_Fitzroy!$H$2:$M$2,0))</f>
        <v>0</v>
      </c>
      <c r="E9" s="33">
        <f>INDEX(Properties_Fitzroy!$H$3:$M$45,MATCH(RT60_Fitzroy!$A9,Properties_Fitzroy!$A$3:$A$45,0),MATCH(RT60_Fitzroy!E$4,Properties_Fitzroy!$H$2:$M$2,0))</f>
        <v>0</v>
      </c>
      <c r="F9" s="33">
        <f>INDEX(Properties_Fitzroy!$H$3:$M$45,MATCH(RT60_Fitzroy!$A9,Properties_Fitzroy!$A$3:$A$45,0),MATCH(RT60_Fitzroy!F$4,Properties_Fitzroy!$H$2:$M$2,0))</f>
        <v>0</v>
      </c>
      <c r="G9" s="33">
        <f>INDEX(Properties_Fitzroy!$H$3:$M$45,MATCH(RT60_Fitzroy!$A9,Properties_Fitzroy!$A$3:$A$45,0),MATCH(RT60_Fitzroy!G$4,Properties_Fitzroy!$H$2:$M$2,0))</f>
        <v>0</v>
      </c>
      <c r="H9" s="33">
        <f>INDEX(Properties_Fitzroy!$H$3:$M$45,MATCH(RT60_Fitzroy!$A9,Properties_Fitzroy!$A$3:$A$45,0),MATCH(RT60_Fitzroy!H$4,Properties_Fitzroy!$H$2:$M$2,0))</f>
        <v>0</v>
      </c>
    </row>
    <row r="10" spans="1:16" ht="17.5" customHeight="1" x14ac:dyDescent="0.35">
      <c r="A10" s="21" t="s">
        <v>0</v>
      </c>
      <c r="B10" s="32">
        <v>0</v>
      </c>
      <c r="C10" s="33">
        <f>INDEX(Properties_Fitzroy!$H$3:$M$45,MATCH(RT60_Fitzroy!$A10,Properties_Fitzroy!$A$3:$A$45,0),MATCH(RT60_Fitzroy!C$4,Properties_Fitzroy!$H$2:$M$2,0))</f>
        <v>0</v>
      </c>
      <c r="D10" s="33">
        <v>8</v>
      </c>
      <c r="E10" s="33">
        <f>INDEX(Properties_Fitzroy!$H$3:$M$45,MATCH(RT60_Fitzroy!$A10,Properties_Fitzroy!$A$3:$A$45,0),MATCH(RT60_Fitzroy!E$4,Properties_Fitzroy!$H$2:$M$2,0))</f>
        <v>0</v>
      </c>
      <c r="F10" s="33">
        <f>INDEX(Properties_Fitzroy!$H$3:$M$45,MATCH(RT60_Fitzroy!$A10,Properties_Fitzroy!$A$3:$A$45,0),MATCH(RT60_Fitzroy!F$4,Properties_Fitzroy!$H$2:$M$2,0))</f>
        <v>0</v>
      </c>
      <c r="G10" s="33">
        <f>INDEX(Properties_Fitzroy!$H$3:$M$45,MATCH(RT60_Fitzroy!$A10,Properties_Fitzroy!$A$3:$A$45,0),MATCH(RT60_Fitzroy!G$4,Properties_Fitzroy!$H$2:$M$2,0))</f>
        <v>0</v>
      </c>
      <c r="H10" s="33">
        <f>INDEX(Properties_Fitzroy!$H$3:$M$45,MATCH(RT60_Fitzroy!$A10,Properties_Fitzroy!$A$3:$A$45,0),MATCH(RT60_Fitzroy!H$4,Properties_Fitzroy!$H$2:$M$2,0))</f>
        <v>0</v>
      </c>
    </row>
    <row r="11" spans="1:16" ht="17.5" customHeight="1" x14ac:dyDescent="0.35">
      <c r="A11" s="5"/>
      <c r="B11" s="5"/>
    </row>
    <row r="12" spans="1:16" ht="17.5" customHeight="1" x14ac:dyDescent="0.35">
      <c r="A12" s="20" t="s">
        <v>50</v>
      </c>
      <c r="B12" s="1" t="s">
        <v>44</v>
      </c>
      <c r="C12" s="1" t="s">
        <v>33</v>
      </c>
      <c r="D12" s="1" t="s">
        <v>34</v>
      </c>
      <c r="E12" s="1" t="s">
        <v>35</v>
      </c>
      <c r="F12" s="1" t="s">
        <v>36</v>
      </c>
      <c r="G12" s="1" t="s">
        <v>37</v>
      </c>
      <c r="H12" s="1" t="s">
        <v>38</v>
      </c>
    </row>
    <row r="13" spans="1:16" ht="17.5" customHeight="1" x14ac:dyDescent="0.35">
      <c r="A13" s="21" t="s">
        <v>66</v>
      </c>
      <c r="B13" s="32">
        <v>45</v>
      </c>
      <c r="C13" s="33">
        <f>INDEX(Properties_Fitzroy!$H$3:$M$45,MATCH(RT60_Fitzroy!$A13,Properties_Fitzroy!$A$3:$A$45,0),MATCH(RT60_Fitzroy!C$4,Properties_Fitzroy!$H$2:$M$2,0))</f>
        <v>0.01</v>
      </c>
      <c r="D13" s="33">
        <f>INDEX(Properties_Fitzroy!$H$3:$M$45,MATCH(RT60_Fitzroy!$A13,Properties_Fitzroy!$A$3:$A$45,0),MATCH(RT60_Fitzroy!D$4,Properties_Fitzroy!$H$2:$M$2,0))</f>
        <v>0.02</v>
      </c>
      <c r="E13" s="33">
        <f>INDEX(Properties_Fitzroy!$H$3:$M$45,MATCH(RT60_Fitzroy!$A13,Properties_Fitzroy!$A$3:$A$45,0),MATCH(RT60_Fitzroy!E$4,Properties_Fitzroy!$H$2:$M$2,0))</f>
        <v>0.02</v>
      </c>
      <c r="F13" s="33">
        <f>INDEX(Properties_Fitzroy!$H$3:$M$45,MATCH(RT60_Fitzroy!$A13,Properties_Fitzroy!$A$3:$A$45,0),MATCH(RT60_Fitzroy!F$4,Properties_Fitzroy!$H$2:$M$2,0))</f>
        <v>0.02</v>
      </c>
      <c r="G13" s="33">
        <f>INDEX(Properties_Fitzroy!$H$3:$M$45,MATCH(RT60_Fitzroy!$A13,Properties_Fitzroy!$A$3:$A$45,0),MATCH(RT60_Fitzroy!G$4,Properties_Fitzroy!$H$2:$M$2,0))</f>
        <v>0.02</v>
      </c>
      <c r="H13" s="33">
        <f>INDEX(Properties_Fitzroy!$H$3:$M$45,MATCH(RT60_Fitzroy!$A13,Properties_Fitzroy!$A$3:$A$45,0),MATCH(RT60_Fitzroy!H$4,Properties_Fitzroy!$H$2:$M$2,0))</f>
        <v>0.02</v>
      </c>
    </row>
    <row r="14" spans="1:16" ht="17.5" customHeight="1" x14ac:dyDescent="0.35">
      <c r="A14" s="21" t="s">
        <v>0</v>
      </c>
      <c r="B14" s="32">
        <v>55</v>
      </c>
      <c r="C14" s="33">
        <f>INDEX(Properties_Fitzroy!$H$3:$M$45,MATCH(RT60_Fitzroy!$A14,Properties_Fitzroy!$A$3:$A$45,0),MATCH(RT60_Fitzroy!C$4,Properties_Fitzroy!$H$2:$M$2,0))</f>
        <v>0</v>
      </c>
      <c r="D14" s="33">
        <f>INDEX(Properties_Fitzroy!$H$3:$M$45,MATCH(RT60_Fitzroy!$A14,Properties_Fitzroy!$A$3:$A$45,0),MATCH(RT60_Fitzroy!D$4,Properties_Fitzroy!$H$2:$M$2,0))</f>
        <v>0</v>
      </c>
      <c r="E14" s="33">
        <f>INDEX(Properties_Fitzroy!$H$3:$M$45,MATCH(RT60_Fitzroy!$A14,Properties_Fitzroy!$A$3:$A$45,0),MATCH(RT60_Fitzroy!E$4,Properties_Fitzroy!$H$2:$M$2,0))</f>
        <v>0</v>
      </c>
      <c r="F14" s="33">
        <f>INDEX(Properties_Fitzroy!$H$3:$M$45,MATCH(RT60_Fitzroy!$A14,Properties_Fitzroy!$A$3:$A$45,0),MATCH(RT60_Fitzroy!F$4,Properties_Fitzroy!$H$2:$M$2,0))</f>
        <v>0</v>
      </c>
      <c r="G14" s="33">
        <f>INDEX(Properties_Fitzroy!$H$3:$M$45,MATCH(RT60_Fitzroy!$A14,Properties_Fitzroy!$A$3:$A$45,0),MATCH(RT60_Fitzroy!G$4,Properties_Fitzroy!$H$2:$M$2,0))</f>
        <v>0</v>
      </c>
      <c r="H14" s="33">
        <f>INDEX(Properties_Fitzroy!$H$3:$M$45,MATCH(RT60_Fitzroy!$A14,Properties_Fitzroy!$A$3:$A$45,0),MATCH(RT60_Fitzroy!H$4,Properties_Fitzroy!$H$2:$M$2,0))</f>
        <v>0</v>
      </c>
    </row>
    <row r="15" spans="1:16" ht="17.5" customHeight="1" x14ac:dyDescent="0.35">
      <c r="A15" s="21" t="s">
        <v>0</v>
      </c>
      <c r="B15" s="32">
        <v>0</v>
      </c>
      <c r="C15" s="33">
        <f>INDEX(Properties_Fitzroy!$H$3:$M$45,MATCH(RT60_Fitzroy!$A15,Properties_Fitzroy!$A$3:$A$45,0),MATCH(RT60_Fitzroy!C$4,Properties_Fitzroy!$H$2:$M$2,0))</f>
        <v>0</v>
      </c>
      <c r="D15" s="33">
        <f>INDEX(Properties_Fitzroy!$H$3:$M$45,MATCH(RT60_Fitzroy!$A15,Properties_Fitzroy!$A$3:$A$45,0),MATCH(RT60_Fitzroy!D$4,Properties_Fitzroy!$H$2:$M$2,0))</f>
        <v>0</v>
      </c>
      <c r="E15" s="33">
        <f>INDEX(Properties_Fitzroy!$H$3:$M$45,MATCH(RT60_Fitzroy!$A15,Properties_Fitzroy!$A$3:$A$45,0),MATCH(RT60_Fitzroy!E$4,Properties_Fitzroy!$H$2:$M$2,0))</f>
        <v>0</v>
      </c>
      <c r="F15" s="33">
        <f>INDEX(Properties_Fitzroy!$H$3:$M$45,MATCH(RT60_Fitzroy!$A15,Properties_Fitzroy!$A$3:$A$45,0),MATCH(RT60_Fitzroy!F$4,Properties_Fitzroy!$H$2:$M$2,0))</f>
        <v>0</v>
      </c>
      <c r="G15" s="33">
        <f>INDEX(Properties_Fitzroy!$H$3:$M$45,MATCH(RT60_Fitzroy!$A15,Properties_Fitzroy!$A$3:$A$45,0),MATCH(RT60_Fitzroy!G$4,Properties_Fitzroy!$H$2:$M$2,0))</f>
        <v>0</v>
      </c>
      <c r="H15" s="33">
        <f>INDEX(Properties_Fitzroy!$H$3:$M$45,MATCH(RT60_Fitzroy!$A15,Properties_Fitzroy!$A$3:$A$45,0),MATCH(RT60_Fitzroy!H$4,Properties_Fitzroy!$H$2:$M$2,0))</f>
        <v>0</v>
      </c>
    </row>
    <row r="16" spans="1:16" ht="17.5" customHeight="1" x14ac:dyDescent="0.35">
      <c r="A16" s="21" t="s">
        <v>0</v>
      </c>
      <c r="B16" s="32">
        <v>0</v>
      </c>
      <c r="C16" s="33">
        <f>INDEX(Properties_Fitzroy!$H$3:$M$45,MATCH(RT60_Fitzroy!$A16,Properties_Fitzroy!$A$3:$A$45,0),MATCH(RT60_Fitzroy!C$4,Properties_Fitzroy!$H$2:$M$2,0))</f>
        <v>0</v>
      </c>
      <c r="D16" s="33">
        <f>INDEX(Properties_Fitzroy!$H$3:$M$45,MATCH(RT60_Fitzroy!$A16,Properties_Fitzroy!$A$3:$A$45,0),MATCH(RT60_Fitzroy!D$4,Properties_Fitzroy!$H$2:$M$2,0))</f>
        <v>0</v>
      </c>
      <c r="E16" s="33">
        <f>INDEX(Properties_Fitzroy!$H$3:$M$45,MATCH(RT60_Fitzroy!$A16,Properties_Fitzroy!$A$3:$A$45,0),MATCH(RT60_Fitzroy!E$4,Properties_Fitzroy!$H$2:$M$2,0))</f>
        <v>0</v>
      </c>
      <c r="F16" s="33">
        <f>INDEX(Properties_Fitzroy!$H$3:$M$45,MATCH(RT60_Fitzroy!$A16,Properties_Fitzroy!$A$3:$A$45,0),MATCH(RT60_Fitzroy!F$4,Properties_Fitzroy!$H$2:$M$2,0))</f>
        <v>0</v>
      </c>
      <c r="G16" s="33">
        <f>INDEX(Properties_Fitzroy!$H$3:$M$45,MATCH(RT60_Fitzroy!$A16,Properties_Fitzroy!$A$3:$A$45,0),MATCH(RT60_Fitzroy!G$4,Properties_Fitzroy!$H$2:$M$2,0))</f>
        <v>0</v>
      </c>
      <c r="H16" s="33">
        <f>INDEX(Properties_Fitzroy!$H$3:$M$45,MATCH(RT60_Fitzroy!$A16,Properties_Fitzroy!$A$3:$A$45,0),MATCH(RT60_Fitzroy!H$4,Properties_Fitzroy!$H$2:$M$2,0))</f>
        <v>0</v>
      </c>
    </row>
    <row r="17" spans="1:8" ht="17.5" customHeight="1" x14ac:dyDescent="0.35">
      <c r="A17" s="21" t="s">
        <v>0</v>
      </c>
      <c r="B17" s="32">
        <v>0</v>
      </c>
      <c r="C17" s="33">
        <f>INDEX(Properties_Fitzroy!$H$3:$M$45,MATCH(RT60_Fitzroy!$A17,Properties_Fitzroy!$A$3:$A$45,0),MATCH(RT60_Fitzroy!C$4,Properties_Fitzroy!$H$2:$M$2,0))</f>
        <v>0</v>
      </c>
      <c r="D17" s="33">
        <f>INDEX(Properties_Fitzroy!$H$3:$M$45,MATCH(RT60_Fitzroy!$A17,Properties_Fitzroy!$A$3:$A$45,0),MATCH(RT60_Fitzroy!D$4,Properties_Fitzroy!$H$2:$M$2,0))</f>
        <v>0</v>
      </c>
      <c r="E17" s="33">
        <f>INDEX(Properties_Fitzroy!$H$3:$M$45,MATCH(RT60_Fitzroy!$A17,Properties_Fitzroy!$A$3:$A$45,0),MATCH(RT60_Fitzroy!E$4,Properties_Fitzroy!$H$2:$M$2,0))</f>
        <v>0</v>
      </c>
      <c r="F17" s="33">
        <f>INDEX(Properties_Fitzroy!$H$3:$M$45,MATCH(RT60_Fitzroy!$A17,Properties_Fitzroy!$A$3:$A$45,0),MATCH(RT60_Fitzroy!F$4,Properties_Fitzroy!$H$2:$M$2,0))</f>
        <v>0</v>
      </c>
      <c r="G17" s="33">
        <f>INDEX(Properties_Fitzroy!$H$3:$M$45,MATCH(RT60_Fitzroy!$A17,Properties_Fitzroy!$A$3:$A$45,0),MATCH(RT60_Fitzroy!G$4,Properties_Fitzroy!$H$2:$M$2,0))</f>
        <v>0</v>
      </c>
      <c r="H17" s="33">
        <f>INDEX(Properties_Fitzroy!$H$3:$M$45,MATCH(RT60_Fitzroy!$A17,Properties_Fitzroy!$A$3:$A$45,0),MATCH(RT60_Fitzroy!H$4,Properties_Fitzroy!$H$2:$M$2,0))</f>
        <v>0</v>
      </c>
    </row>
    <row r="18" spans="1:8" ht="17.5" customHeight="1" x14ac:dyDescent="0.35">
      <c r="A18" s="21" t="s">
        <v>0</v>
      </c>
      <c r="B18" s="32">
        <v>0</v>
      </c>
      <c r="C18" s="33">
        <f>INDEX(Properties_Fitzroy!$H$3:$M$45,MATCH(RT60_Fitzroy!$A18,Properties_Fitzroy!$A$3:$A$45,0),MATCH(RT60_Fitzroy!C$4,Properties_Fitzroy!$H$2:$M$2,0))</f>
        <v>0</v>
      </c>
      <c r="D18" s="33">
        <f>INDEX(Properties_Fitzroy!$H$3:$M$45,MATCH(RT60_Fitzroy!$A18,Properties_Fitzroy!$A$3:$A$45,0),MATCH(RT60_Fitzroy!D$4,Properties_Fitzroy!$H$2:$M$2,0))</f>
        <v>0</v>
      </c>
      <c r="E18" s="33">
        <f>INDEX(Properties_Fitzroy!$H$3:$M$45,MATCH(RT60_Fitzroy!$A18,Properties_Fitzroy!$A$3:$A$45,0),MATCH(RT60_Fitzroy!E$4,Properties_Fitzroy!$H$2:$M$2,0))</f>
        <v>0</v>
      </c>
      <c r="F18" s="33">
        <f>INDEX(Properties_Fitzroy!$H$3:$M$45,MATCH(RT60_Fitzroy!$A18,Properties_Fitzroy!$A$3:$A$45,0),MATCH(RT60_Fitzroy!F$4,Properties_Fitzroy!$H$2:$M$2,0))</f>
        <v>0</v>
      </c>
      <c r="G18" s="33">
        <f>INDEX(Properties_Fitzroy!$H$3:$M$45,MATCH(RT60_Fitzroy!$A18,Properties_Fitzroy!$A$3:$A$45,0),MATCH(RT60_Fitzroy!G$4,Properties_Fitzroy!$H$2:$M$2,0))</f>
        <v>0</v>
      </c>
      <c r="H18" s="33">
        <f>INDEX(Properties_Fitzroy!$H$3:$M$45,MATCH(RT60_Fitzroy!$A18,Properties_Fitzroy!$A$3:$A$45,0),MATCH(RT60_Fitzroy!H$4,Properties_Fitzroy!$H$2:$M$2,0))</f>
        <v>0</v>
      </c>
    </row>
    <row r="19" spans="1:8" ht="17.5" customHeight="1" x14ac:dyDescent="0.35"/>
    <row r="20" spans="1:8" ht="17.5" customHeight="1" x14ac:dyDescent="0.35">
      <c r="A20" s="20" t="s">
        <v>53</v>
      </c>
      <c r="B20" s="1" t="s">
        <v>44</v>
      </c>
      <c r="C20" s="1" t="s">
        <v>33</v>
      </c>
      <c r="D20" s="1" t="s">
        <v>34</v>
      </c>
      <c r="E20" s="1" t="s">
        <v>35</v>
      </c>
      <c r="F20" s="1" t="s">
        <v>36</v>
      </c>
      <c r="G20" s="1" t="s">
        <v>37</v>
      </c>
      <c r="H20" s="1" t="s">
        <v>38</v>
      </c>
    </row>
    <row r="21" spans="1:8" ht="17.5" customHeight="1" x14ac:dyDescent="0.35">
      <c r="A21" s="21" t="s">
        <v>67</v>
      </c>
      <c r="B21" s="32">
        <v>30</v>
      </c>
      <c r="C21" s="33">
        <f>INDEX(Properties_Fitzroy!$H$3:$M$45,MATCH(RT60_Fitzroy!$A21,Properties_Fitzroy!$A$3:$A$45,0),MATCH(RT60_Fitzroy!C$4,Properties_Fitzroy!$H$2:$M$2,0))</f>
        <v>0.04</v>
      </c>
      <c r="D21" s="33">
        <f>INDEX(Properties_Fitzroy!$H$3:$M$45,MATCH(RT60_Fitzroy!$A21,Properties_Fitzroy!$A$3:$A$45,0),MATCH(RT60_Fitzroy!D$4,Properties_Fitzroy!$H$2:$M$2,0))</f>
        <v>0.04</v>
      </c>
      <c r="E21" s="33">
        <f>INDEX(Properties_Fitzroy!$H$3:$M$45,MATCH(RT60_Fitzroy!$A21,Properties_Fitzroy!$A$3:$A$45,0),MATCH(RT60_Fitzroy!E$4,Properties_Fitzroy!$H$2:$M$2,0))</f>
        <v>7.0000000000000007E-2</v>
      </c>
      <c r="F21" s="33">
        <f>INDEX(Properties_Fitzroy!$H$3:$M$45,MATCH(RT60_Fitzroy!$A21,Properties_Fitzroy!$A$3:$A$45,0),MATCH(RT60_Fitzroy!F$4,Properties_Fitzroy!$H$2:$M$2,0))</f>
        <v>0.06</v>
      </c>
      <c r="G21" s="33">
        <f>INDEX(Properties_Fitzroy!$H$3:$M$45,MATCH(RT60_Fitzroy!$A21,Properties_Fitzroy!$A$3:$A$45,0),MATCH(RT60_Fitzroy!G$4,Properties_Fitzroy!$H$2:$M$2,0))</f>
        <v>0.06</v>
      </c>
      <c r="H21" s="33">
        <f>INDEX(Properties_Fitzroy!$H$3:$M$45,MATCH(RT60_Fitzroy!$A21,Properties_Fitzroy!$A$3:$A$45,0),MATCH(RT60_Fitzroy!H$4,Properties_Fitzroy!$H$2:$M$2,0))</f>
        <v>7.0000000000000007E-2</v>
      </c>
    </row>
    <row r="22" spans="1:8" ht="17.5" customHeight="1" x14ac:dyDescent="0.35">
      <c r="A22" s="21" t="s">
        <v>0</v>
      </c>
      <c r="B22" s="32">
        <v>45</v>
      </c>
      <c r="C22" s="33">
        <v>0.8</v>
      </c>
      <c r="D22" s="33">
        <f>INDEX(Properties_Fitzroy!$H$3:$M$45,MATCH(RT60_Fitzroy!$A22,Properties_Fitzroy!$A$3:$A$45,0),MATCH(RT60_Fitzroy!D$4,Properties_Fitzroy!$H$2:$M$2,0))</f>
        <v>0</v>
      </c>
      <c r="E22" s="33">
        <f>INDEX(Properties_Fitzroy!$H$3:$M$45,MATCH(RT60_Fitzroy!$A22,Properties_Fitzroy!$A$3:$A$45,0),MATCH(RT60_Fitzroy!E$4,Properties_Fitzroy!$H$2:$M$2,0))</f>
        <v>0</v>
      </c>
      <c r="F22" s="33">
        <f>INDEX(Properties_Fitzroy!$H$3:$M$45,MATCH(RT60_Fitzroy!$A22,Properties_Fitzroy!$A$3:$A$45,0),MATCH(RT60_Fitzroy!F$4,Properties_Fitzroy!$H$2:$M$2,0))</f>
        <v>0</v>
      </c>
      <c r="G22" s="33">
        <f>INDEX(Properties_Fitzroy!$H$3:$M$45,MATCH(RT60_Fitzroy!$A22,Properties_Fitzroy!$A$3:$A$45,0),MATCH(RT60_Fitzroy!G$4,Properties_Fitzroy!$H$2:$M$2,0))</f>
        <v>0</v>
      </c>
      <c r="H22" s="33">
        <f>INDEX(Properties_Fitzroy!$H$3:$M$45,MATCH(RT60_Fitzroy!$A22,Properties_Fitzroy!$A$3:$A$45,0),MATCH(RT60_Fitzroy!H$4,Properties_Fitzroy!$H$2:$M$2,0))</f>
        <v>0</v>
      </c>
    </row>
    <row r="23" spans="1:8" ht="17.5" customHeight="1" x14ac:dyDescent="0.35">
      <c r="A23" s="21" t="s">
        <v>0</v>
      </c>
      <c r="B23" s="32">
        <v>0</v>
      </c>
      <c r="C23" s="33">
        <f>INDEX(Properties_Fitzroy!$H$3:$M$45,MATCH(RT60_Fitzroy!$A23,Properties_Fitzroy!$A$3:$A$45,0),MATCH(RT60_Fitzroy!C$4,Properties_Fitzroy!$H$2:$M$2,0))</f>
        <v>0</v>
      </c>
      <c r="D23" s="33">
        <f>INDEX(Properties_Fitzroy!$H$3:$M$45,MATCH(RT60_Fitzroy!$A23,Properties_Fitzroy!$A$3:$A$45,0),MATCH(RT60_Fitzroy!D$4,Properties_Fitzroy!$H$2:$M$2,0))</f>
        <v>0</v>
      </c>
      <c r="E23" s="33">
        <f>INDEX(Properties_Fitzroy!$H$3:$M$45,MATCH(RT60_Fitzroy!$A23,Properties_Fitzroy!$A$3:$A$45,0),MATCH(RT60_Fitzroy!E$4,Properties_Fitzroy!$H$2:$M$2,0))</f>
        <v>0</v>
      </c>
      <c r="F23" s="33">
        <f>INDEX(Properties_Fitzroy!$H$3:$M$45,MATCH(RT60_Fitzroy!$A23,Properties_Fitzroy!$A$3:$A$45,0),MATCH(RT60_Fitzroy!F$4,Properties_Fitzroy!$H$2:$M$2,0))</f>
        <v>0</v>
      </c>
      <c r="G23" s="33">
        <f>INDEX(Properties_Fitzroy!$H$3:$M$45,MATCH(RT60_Fitzroy!$A23,Properties_Fitzroy!$A$3:$A$45,0),MATCH(RT60_Fitzroy!G$4,Properties_Fitzroy!$H$2:$M$2,0))</f>
        <v>0</v>
      </c>
      <c r="H23" s="33">
        <f>INDEX(Properties_Fitzroy!$H$3:$M$45,MATCH(RT60_Fitzroy!$A23,Properties_Fitzroy!$A$3:$A$45,0),MATCH(RT60_Fitzroy!H$4,Properties_Fitzroy!$H$2:$M$2,0))</f>
        <v>0</v>
      </c>
    </row>
    <row r="24" spans="1:8" ht="17.5" customHeight="1" x14ac:dyDescent="0.35">
      <c r="A24" s="21" t="s">
        <v>0</v>
      </c>
      <c r="B24" s="32">
        <v>0</v>
      </c>
      <c r="C24" s="33">
        <f>INDEX(Properties_Fitzroy!$H$3:$M$45,MATCH(RT60_Fitzroy!$A24,Properties_Fitzroy!$A$3:$A$45,0),MATCH(RT60_Fitzroy!C$4,Properties_Fitzroy!$H$2:$M$2,0))</f>
        <v>0</v>
      </c>
      <c r="D24" s="33">
        <f>INDEX(Properties_Fitzroy!$H$3:$M$45,MATCH(RT60_Fitzroy!$A24,Properties_Fitzroy!$A$3:$A$45,0),MATCH(RT60_Fitzroy!D$4,Properties_Fitzroy!$H$2:$M$2,0))</f>
        <v>0</v>
      </c>
      <c r="E24" s="33">
        <f>INDEX(Properties_Fitzroy!$H$3:$M$45,MATCH(RT60_Fitzroy!$A24,Properties_Fitzroy!$A$3:$A$45,0),MATCH(RT60_Fitzroy!E$4,Properties_Fitzroy!$H$2:$M$2,0))</f>
        <v>0</v>
      </c>
      <c r="F24" s="33">
        <f>INDEX(Properties_Fitzroy!$H$3:$M$45,MATCH(RT60_Fitzroy!$A24,Properties_Fitzroy!$A$3:$A$45,0),MATCH(RT60_Fitzroy!F$4,Properties_Fitzroy!$H$2:$M$2,0))</f>
        <v>0</v>
      </c>
      <c r="G24" s="33">
        <f>INDEX(Properties_Fitzroy!$H$3:$M$45,MATCH(RT60_Fitzroy!$A24,Properties_Fitzroy!$A$3:$A$45,0),MATCH(RT60_Fitzroy!G$4,Properties_Fitzroy!$H$2:$M$2,0))</f>
        <v>0</v>
      </c>
      <c r="H24" s="33">
        <f>INDEX(Properties_Fitzroy!$H$3:$M$45,MATCH(RT60_Fitzroy!$A24,Properties_Fitzroy!$A$3:$A$45,0),MATCH(RT60_Fitzroy!H$4,Properties_Fitzroy!$H$2:$M$2,0))</f>
        <v>0</v>
      </c>
    </row>
    <row r="25" spans="1:8" ht="17.5" customHeight="1" x14ac:dyDescent="0.35">
      <c r="A25" s="21" t="s">
        <v>0</v>
      </c>
      <c r="B25" s="32">
        <v>0</v>
      </c>
      <c r="C25" s="33">
        <f>INDEX(Properties_Fitzroy!$H$3:$M$45,MATCH(RT60_Fitzroy!$A25,Properties_Fitzroy!$A$3:$A$45,0),MATCH(RT60_Fitzroy!C$4,Properties_Fitzroy!$H$2:$M$2,0))</f>
        <v>0</v>
      </c>
      <c r="D25" s="33">
        <f>INDEX(Properties_Fitzroy!$H$3:$M$45,MATCH(RT60_Fitzroy!$A25,Properties_Fitzroy!$A$3:$A$45,0),MATCH(RT60_Fitzroy!D$4,Properties_Fitzroy!$H$2:$M$2,0))</f>
        <v>0</v>
      </c>
      <c r="E25" s="33">
        <f>INDEX(Properties_Fitzroy!$H$3:$M$45,MATCH(RT60_Fitzroy!$A25,Properties_Fitzroy!$A$3:$A$45,0),MATCH(RT60_Fitzroy!E$4,Properties_Fitzroy!$H$2:$M$2,0))</f>
        <v>0</v>
      </c>
      <c r="F25" s="33">
        <f>INDEX(Properties_Fitzroy!$H$3:$M$45,MATCH(RT60_Fitzroy!$A25,Properties_Fitzroy!$A$3:$A$45,0),MATCH(RT60_Fitzroy!F$4,Properties_Fitzroy!$H$2:$M$2,0))</f>
        <v>0</v>
      </c>
      <c r="G25" s="33">
        <f>INDEX(Properties_Fitzroy!$H$3:$M$45,MATCH(RT60_Fitzroy!$A25,Properties_Fitzroy!$A$3:$A$45,0),MATCH(RT60_Fitzroy!G$4,Properties_Fitzroy!$H$2:$M$2,0))</f>
        <v>0</v>
      </c>
      <c r="H25" s="33">
        <f>INDEX(Properties_Fitzroy!$H$3:$M$45,MATCH(RT60_Fitzroy!$A25,Properties_Fitzroy!$A$3:$A$45,0),MATCH(RT60_Fitzroy!H$4,Properties_Fitzroy!$H$2:$M$2,0))</f>
        <v>0</v>
      </c>
    </row>
    <row r="26" spans="1:8" ht="17.5" customHeight="1" x14ac:dyDescent="0.35">
      <c r="A26" s="21" t="s">
        <v>0</v>
      </c>
      <c r="B26" s="32">
        <v>0</v>
      </c>
      <c r="C26" s="33">
        <f>INDEX(Properties_Fitzroy!$H$3:$M$45,MATCH(RT60_Fitzroy!$A26,Properties_Fitzroy!$A$3:$A$45,0),MATCH(RT60_Fitzroy!C$4,Properties_Fitzroy!$H$2:$M$2,0))</f>
        <v>0</v>
      </c>
      <c r="D26" s="33">
        <f>INDEX(Properties_Fitzroy!$H$3:$M$45,MATCH(RT60_Fitzroy!$A26,Properties_Fitzroy!$A$3:$A$45,0),MATCH(RT60_Fitzroy!D$4,Properties_Fitzroy!$H$2:$M$2,0))</f>
        <v>0</v>
      </c>
      <c r="E26" s="33">
        <f>INDEX(Properties_Fitzroy!$H$3:$M$45,MATCH(RT60_Fitzroy!$A26,Properties_Fitzroy!$A$3:$A$45,0),MATCH(RT60_Fitzroy!E$4,Properties_Fitzroy!$H$2:$M$2,0))</f>
        <v>0</v>
      </c>
      <c r="F26" s="33">
        <f>INDEX(Properties_Fitzroy!$H$3:$M$45,MATCH(RT60_Fitzroy!$A26,Properties_Fitzroy!$A$3:$A$45,0),MATCH(RT60_Fitzroy!F$4,Properties_Fitzroy!$H$2:$M$2,0))</f>
        <v>0</v>
      </c>
      <c r="G26" s="33">
        <f>INDEX(Properties_Fitzroy!$H$3:$M$45,MATCH(RT60_Fitzroy!$A26,Properties_Fitzroy!$A$3:$A$45,0),MATCH(RT60_Fitzroy!G$4,Properties_Fitzroy!$H$2:$M$2,0))</f>
        <v>0</v>
      </c>
      <c r="H26" s="33">
        <f>INDEX(Properties_Fitzroy!$H$3:$M$45,MATCH(RT60_Fitzroy!$A26,Properties_Fitzroy!$A$3:$A$45,0),MATCH(RT60_Fitzroy!H$4,Properties_Fitzroy!$H$2:$M$2,0))</f>
        <v>0</v>
      </c>
    </row>
    <row r="27" spans="1:8" ht="17.5" customHeight="1" x14ac:dyDescent="0.35"/>
    <row r="28" spans="1:8" ht="17.5" customHeight="1" x14ac:dyDescent="0.35">
      <c r="A28" s="35"/>
      <c r="B28" s="35"/>
    </row>
    <row r="29" spans="1:8" ht="17.5" customHeight="1" x14ac:dyDescent="0.35"/>
    <row r="30" spans="1:8" ht="17.5" customHeight="1" x14ac:dyDescent="0.35">
      <c r="B30" s="5"/>
    </row>
    <row r="31" spans="1:8" ht="17.5" customHeight="1" x14ac:dyDescent="0.35">
      <c r="A31" s="8"/>
      <c r="B31" s="5"/>
    </row>
    <row r="32" spans="1:8" ht="17.5" customHeight="1" x14ac:dyDescent="0.35">
      <c r="B32" s="5"/>
    </row>
    <row r="33" ht="17.5" customHeight="1" x14ac:dyDescent="0.35"/>
    <row r="34" ht="17.5" customHeight="1" x14ac:dyDescent="0.35"/>
    <row r="35" ht="17.5" customHeight="1" x14ac:dyDescent="0.35"/>
  </sheetData>
  <mergeCells count="4">
    <mergeCell ref="A2:B2"/>
    <mergeCell ref="K3:P3"/>
    <mergeCell ref="A1:H1"/>
    <mergeCell ref="K1:P1"/>
  </mergeCells>
  <pageMargins left="0.7" right="0.7" top="0.75" bottom="0.75" header="0.3" footer="0.3"/>
  <pageSetup paperSize="9" orientation="portrait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C46CB0-916F-4803-8A47-B50162492A8F}">
          <x14:formula1>
            <xm:f>Properties_Fitzroy!$A$3:$A$45</xm:f>
          </x14:formula1>
          <xm:sqref>A5:A10 A13:A18 A21:A26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9B71-90E6-452E-B5F8-555700A015DA}">
  <dimension ref="A1:E11"/>
  <sheetViews>
    <sheetView workbookViewId="0">
      <selection activeCell="D7" sqref="D7"/>
    </sheetView>
  </sheetViews>
  <sheetFormatPr defaultRowHeight="14.5" x14ac:dyDescent="0.35"/>
  <cols>
    <col min="1" max="1" width="15.81640625" bestFit="1" customWidth="1"/>
    <col min="2" max="2" width="12.26953125" customWidth="1"/>
    <col min="3" max="3" width="15.1796875" customWidth="1"/>
    <col min="4" max="4" width="16.26953125" customWidth="1"/>
    <col min="5" max="5" width="12.7265625" customWidth="1"/>
  </cols>
  <sheetData>
    <row r="1" spans="1:5" ht="28.9" customHeight="1" x14ac:dyDescent="0.35">
      <c r="A1" s="23" t="s">
        <v>75</v>
      </c>
      <c r="B1" s="24" t="s">
        <v>84</v>
      </c>
      <c r="D1" s="26" t="s">
        <v>78</v>
      </c>
      <c r="E1" s="24" t="s">
        <v>84</v>
      </c>
    </row>
    <row r="2" spans="1:5" x14ac:dyDescent="0.35">
      <c r="A2" s="1" t="s">
        <v>70</v>
      </c>
      <c r="B2" s="1">
        <v>7.1</v>
      </c>
      <c r="D2" s="33" t="s">
        <v>72</v>
      </c>
      <c r="E2" s="27">
        <f>VLOOKUP(D2, A2:B6, 2,FALSE)</f>
        <v>7.5</v>
      </c>
    </row>
    <row r="3" spans="1:5" ht="16.149999999999999" customHeight="1" x14ac:dyDescent="0.35">
      <c r="A3" s="1" t="s">
        <v>71</v>
      </c>
      <c r="B3" s="1">
        <v>4.5999999999999996</v>
      </c>
    </row>
    <row r="4" spans="1:5" x14ac:dyDescent="0.35">
      <c r="A4" s="1" t="s">
        <v>72</v>
      </c>
      <c r="B4" s="1">
        <v>7.5</v>
      </c>
      <c r="D4" s="27" t="s">
        <v>74</v>
      </c>
      <c r="E4" s="28">
        <v>40</v>
      </c>
    </row>
    <row r="5" spans="1:5" x14ac:dyDescent="0.35">
      <c r="A5" s="1" t="s">
        <v>73</v>
      </c>
      <c r="B5" s="1">
        <v>3.1</v>
      </c>
    </row>
    <row r="6" spans="1:5" x14ac:dyDescent="0.35">
      <c r="A6" s="1" t="s">
        <v>77</v>
      </c>
      <c r="B6" s="1">
        <v>2.8</v>
      </c>
      <c r="D6" s="1" t="s">
        <v>79</v>
      </c>
      <c r="E6" s="25" t="s">
        <v>83</v>
      </c>
    </row>
    <row r="7" spans="1:5" x14ac:dyDescent="0.35">
      <c r="D7" s="33" t="s">
        <v>80</v>
      </c>
      <c r="E7" s="27">
        <f>VLOOKUP(D7, A9:B11, 2,FALSE)</f>
        <v>4</v>
      </c>
    </row>
    <row r="8" spans="1:5" x14ac:dyDescent="0.35">
      <c r="A8" s="1" t="s">
        <v>79</v>
      </c>
      <c r="B8" s="25" t="s">
        <v>83</v>
      </c>
    </row>
    <row r="9" spans="1:5" x14ac:dyDescent="0.35">
      <c r="A9" s="1" t="s">
        <v>80</v>
      </c>
      <c r="B9" s="1">
        <v>4</v>
      </c>
    </row>
    <row r="10" spans="1:5" x14ac:dyDescent="0.35">
      <c r="A10" s="1" t="s">
        <v>81</v>
      </c>
      <c r="B10" s="1">
        <v>5</v>
      </c>
      <c r="D10" s="2" t="s">
        <v>76</v>
      </c>
      <c r="E10" s="4">
        <f>E7*(0.012*(RT60_Fitzroy!C2^(1/3))+0.107)</f>
        <v>0.73038105197476955</v>
      </c>
    </row>
    <row r="11" spans="1:5" x14ac:dyDescent="0.35">
      <c r="A11" s="1" t="s">
        <v>82</v>
      </c>
      <c r="B11" s="1">
        <v>6</v>
      </c>
    </row>
  </sheetData>
  <dataValidations count="2">
    <dataValidation type="list" allowBlank="1" showInputMessage="1" showErrorMessage="1" sqref="D2" xr:uid="{C33E486E-1FBC-4BCC-9389-513758C7BBC5}">
      <formula1>$A$2:$A$6</formula1>
    </dataValidation>
    <dataValidation type="list" allowBlank="1" showInputMessage="1" showErrorMessage="1" sqref="D7" xr:uid="{F32C253D-8D09-4F45-9020-A242F12EFDD3}">
      <formula1>$A$9:$A$11</formula1>
    </dataValidation>
  </dataValidation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9"/>
  <sheetViews>
    <sheetView zoomScale="78" zoomScaleNormal="78" workbookViewId="0">
      <selection activeCell="D5" sqref="D5"/>
    </sheetView>
  </sheetViews>
  <sheetFormatPr defaultRowHeight="14.5" x14ac:dyDescent="0.35"/>
  <cols>
    <col min="4" max="4" width="19.26953125" customWidth="1"/>
  </cols>
  <sheetData>
    <row r="1" spans="1:19" ht="16.5" x14ac:dyDescent="0.35">
      <c r="A1" s="47" t="s">
        <v>46</v>
      </c>
      <c r="B1" s="48"/>
      <c r="D1" s="20" t="s">
        <v>52</v>
      </c>
      <c r="E1" s="1" t="s">
        <v>44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9" x14ac:dyDescent="0.35">
      <c r="A2" s="49">
        <f>RT60_Fitzroy!C2</f>
        <v>250</v>
      </c>
      <c r="B2" s="50"/>
      <c r="D2" s="1" t="str">
        <f>RT60_Fitzroy!A5</f>
        <v>Concrete (unpainted, rough finish)</v>
      </c>
      <c r="E2" s="34">
        <v>45</v>
      </c>
      <c r="F2" s="33">
        <f>RT60_Fitzroy!C5</f>
        <v>0.01</v>
      </c>
      <c r="G2" s="33">
        <f>RT60_Fitzroy!D5</f>
        <v>0.02</v>
      </c>
      <c r="H2" s="33">
        <f>RT60_Fitzroy!E5</f>
        <v>0.04</v>
      </c>
      <c r="I2" s="33">
        <f>RT60_Fitzroy!F5</f>
        <v>0.06</v>
      </c>
      <c r="J2" s="33">
        <f>RT60_Fitzroy!G5</f>
        <v>0.08</v>
      </c>
      <c r="K2" s="33">
        <f>RT60_Fitzroy!H5</f>
        <v>0.1</v>
      </c>
    </row>
    <row r="3" spans="1:19" x14ac:dyDescent="0.35">
      <c r="D3" s="1" t="str">
        <f>RT60_Fitzroy!A6</f>
        <v>Description</v>
      </c>
      <c r="E3" s="34">
        <f>RT60_Fitzroy!B6</f>
        <v>10</v>
      </c>
      <c r="F3" s="33">
        <v>0.5</v>
      </c>
      <c r="G3" s="33">
        <f>RT60_Fitzroy!D6</f>
        <v>0</v>
      </c>
      <c r="H3" s="33">
        <f>RT60_Fitzroy!E6</f>
        <v>0</v>
      </c>
      <c r="I3" s="33">
        <f>RT60_Fitzroy!F6</f>
        <v>0</v>
      </c>
      <c r="J3" s="33">
        <f>RT60_Fitzroy!G6</f>
        <v>0</v>
      </c>
      <c r="K3" s="33">
        <f>RT60_Fitzroy!H6</f>
        <v>0</v>
      </c>
    </row>
    <row r="4" spans="1:19" ht="16.5" x14ac:dyDescent="0.35">
      <c r="A4" s="9" t="s">
        <v>47</v>
      </c>
      <c r="B4" s="10"/>
      <c r="D4" s="1" t="str">
        <f>RT60_Fitzroy!A7</f>
        <v>Description</v>
      </c>
      <c r="E4" s="34">
        <f>RT60_Fitzroy!B7</f>
        <v>0</v>
      </c>
      <c r="F4" s="33">
        <f>RT60_Fitzroy!C7</f>
        <v>0</v>
      </c>
      <c r="G4" s="33">
        <f>RT60_Fitzroy!D7</f>
        <v>0</v>
      </c>
      <c r="H4" s="33">
        <f>RT60_Fitzroy!E7</f>
        <v>0</v>
      </c>
      <c r="I4" s="33">
        <f>RT60_Fitzroy!F7</f>
        <v>0</v>
      </c>
      <c r="J4" s="33">
        <f>RT60_Fitzroy!G7</f>
        <v>0</v>
      </c>
      <c r="K4" s="33">
        <f>RT60_Fitzroy!H7</f>
        <v>0</v>
      </c>
      <c r="N4" s="51" t="s">
        <v>43</v>
      </c>
      <c r="O4" s="51"/>
      <c r="P4" s="51"/>
      <c r="Q4" s="51"/>
      <c r="R4" s="51"/>
      <c r="S4" s="51"/>
    </row>
    <row r="5" spans="1:19" x14ac:dyDescent="0.35">
      <c r="A5" s="1" t="s">
        <v>51</v>
      </c>
      <c r="B5" s="34">
        <v>100</v>
      </c>
      <c r="D5" s="1" t="str">
        <f>RT60_Fitzroy!A8</f>
        <v>Wood parquet on concrete</v>
      </c>
      <c r="E5" s="34">
        <f>RT60_Fitzroy!B8</f>
        <v>0</v>
      </c>
      <c r="F5" s="33">
        <f>RT60_Fitzroy!C8</f>
        <v>0.04</v>
      </c>
      <c r="G5" s="33">
        <f>RT60_Fitzroy!D8</f>
        <v>0.04</v>
      </c>
      <c r="H5" s="33">
        <f>RT60_Fitzroy!E8</f>
        <v>7.0000000000000007E-2</v>
      </c>
      <c r="I5" s="33">
        <f>RT60_Fitzroy!F8</f>
        <v>0.06</v>
      </c>
      <c r="J5" s="33">
        <f>RT60_Fitzroy!G8</f>
        <v>0.06</v>
      </c>
      <c r="K5" s="33">
        <f>RT60_Fitzroy!H8</f>
        <v>7.0000000000000007E-2</v>
      </c>
      <c r="N5" s="2" t="s">
        <v>33</v>
      </c>
      <c r="O5" s="2" t="s">
        <v>34</v>
      </c>
      <c r="P5" s="2" t="s">
        <v>35</v>
      </c>
      <c r="Q5" s="2" t="s">
        <v>36</v>
      </c>
      <c r="R5" s="2" t="s">
        <v>37</v>
      </c>
      <c r="S5" s="2" t="s">
        <v>38</v>
      </c>
    </row>
    <row r="6" spans="1:19" x14ac:dyDescent="0.35">
      <c r="A6" s="1" t="s">
        <v>49</v>
      </c>
      <c r="B6" s="32">
        <v>32</v>
      </c>
      <c r="D6" s="1" t="str">
        <f>RT60_Fitzroy!A9</f>
        <v>Description</v>
      </c>
      <c r="E6" s="34">
        <f>RT60_Fitzroy!B9</f>
        <v>0</v>
      </c>
      <c r="F6" s="33">
        <f>RT60_Fitzroy!C9</f>
        <v>0</v>
      </c>
      <c r="G6" s="33">
        <f>RT60_Fitzroy!D9</f>
        <v>0</v>
      </c>
      <c r="H6" s="33">
        <f>RT60_Fitzroy!E9</f>
        <v>0</v>
      </c>
      <c r="I6" s="33">
        <f>RT60_Fitzroy!F9</f>
        <v>0</v>
      </c>
      <c r="J6" s="33">
        <f>RT60_Fitzroy!G9</f>
        <v>0</v>
      </c>
      <c r="K6" s="33">
        <f>RT60_Fitzroy!H9</f>
        <v>0</v>
      </c>
      <c r="N6" s="4" cm="1">
        <f t="array" ref="N6">0.161*$A$2/($B8^2)*(SUM($B5:$B7/(LN((1-F27:F29)^(-1)))))</f>
        <v>5.2284147750182717</v>
      </c>
      <c r="O6" s="4" cm="1">
        <f t="array" ref="O6">0.161*$A$2/($B8^2)*(SUM($B5:$B7/(LN((1-G27:G29)^(-1)))))</f>
        <v>17.79078022924875</v>
      </c>
      <c r="P6" s="4" cm="1">
        <f t="array" ref="P6">0.161*$A$2/($B8^2)*(SUM($B5:$B7/(LN((1-H27:H29)^(-1)))))</f>
        <v>9.7239195027022394</v>
      </c>
      <c r="Q6" s="4" cm="1">
        <f t="array" ref="Q6">0.161*$A$2/($B8^2)*(SUM($B5:$B7/(LN((1-I27:I29)^(-1)))))</f>
        <v>7.5511618825120896</v>
      </c>
      <c r="R6" s="4" cm="1">
        <f t="array" ref="R6">0.161*$A$2/($B8^2)*(SUM($B5:$B7/(LN((1-J27:J29)^(-1)))))</f>
        <v>5.2648441943406414</v>
      </c>
      <c r="S6" s="4" cm="1">
        <f t="array" ref="S6">0.161*$A$2/($B8^2)*(SUM($B5:$B7/(LN((1-K27:K29)^(-1)))))</f>
        <v>5.4411138734006004</v>
      </c>
    </row>
    <row r="7" spans="1:19" x14ac:dyDescent="0.35">
      <c r="A7" s="1" t="s">
        <v>48</v>
      </c>
      <c r="B7" s="32">
        <v>45</v>
      </c>
      <c r="D7" s="1" t="str">
        <f>RT60_Fitzroy!A10</f>
        <v>Description</v>
      </c>
      <c r="E7" s="34">
        <f>RT60_Fitzroy!B10</f>
        <v>0</v>
      </c>
      <c r="F7" s="33">
        <f>RT60_Fitzroy!C10</f>
        <v>0</v>
      </c>
      <c r="G7" s="33">
        <f>RT60_Fitzroy!D10</f>
        <v>8</v>
      </c>
      <c r="H7" s="33">
        <f>RT60_Fitzroy!E10</f>
        <v>0</v>
      </c>
      <c r="I7" s="33">
        <f>RT60_Fitzroy!F10</f>
        <v>0</v>
      </c>
      <c r="J7" s="33">
        <f>RT60_Fitzroy!G10</f>
        <v>0</v>
      </c>
      <c r="K7" s="33">
        <f>RT60_Fitzroy!H10</f>
        <v>0</v>
      </c>
    </row>
    <row r="8" spans="1:19" x14ac:dyDescent="0.35">
      <c r="A8" s="1" t="s">
        <v>55</v>
      </c>
      <c r="B8" s="11">
        <f>SUM(B5:B7)</f>
        <v>177</v>
      </c>
      <c r="D8" s="3"/>
      <c r="E8" s="3"/>
      <c r="F8" s="3"/>
      <c r="G8" s="3"/>
      <c r="H8" s="3"/>
      <c r="I8" s="3"/>
      <c r="J8" s="3"/>
      <c r="K8" s="3"/>
    </row>
    <row r="9" spans="1:19" ht="16.5" x14ac:dyDescent="0.35">
      <c r="D9" s="20" t="s">
        <v>50</v>
      </c>
      <c r="E9" s="1" t="s">
        <v>44</v>
      </c>
      <c r="F9" s="1" t="s">
        <v>33</v>
      </c>
      <c r="G9" s="1" t="s">
        <v>34</v>
      </c>
      <c r="H9" s="1" t="s">
        <v>35</v>
      </c>
      <c r="I9" s="1" t="s">
        <v>36</v>
      </c>
      <c r="J9" s="1" t="s">
        <v>37</v>
      </c>
      <c r="K9" s="1" t="s">
        <v>38</v>
      </c>
    </row>
    <row r="10" spans="1:19" x14ac:dyDescent="0.35">
      <c r="D10" s="1" t="str">
        <f>RT60_Fitzroy!A13</f>
        <v>Concrete (sealed or painted)</v>
      </c>
      <c r="E10" s="32">
        <f>RT60_Fitzroy!B13</f>
        <v>45</v>
      </c>
      <c r="F10" s="33">
        <f>RT60_Fitzroy!C13</f>
        <v>0.01</v>
      </c>
      <c r="G10" s="33">
        <f>RT60_Fitzroy!D13</f>
        <v>0.02</v>
      </c>
      <c r="H10" s="33">
        <f>RT60_Fitzroy!E13</f>
        <v>0.02</v>
      </c>
      <c r="I10" s="33">
        <f>RT60_Fitzroy!F13</f>
        <v>0.02</v>
      </c>
      <c r="J10" s="33">
        <v>0.08</v>
      </c>
      <c r="K10" s="33">
        <f>RT60_Fitzroy!H13</f>
        <v>0.02</v>
      </c>
    </row>
    <row r="11" spans="1:19" x14ac:dyDescent="0.35">
      <c r="D11" s="1" t="str">
        <f>RT60_Fitzroy!A14</f>
        <v>Description</v>
      </c>
      <c r="E11" s="32">
        <f>RT60_Fitzroy!B14</f>
        <v>55</v>
      </c>
      <c r="F11" s="33">
        <f>RT60_Fitzroy!C14</f>
        <v>0</v>
      </c>
      <c r="G11" s="33">
        <f>RT60_Fitzroy!D14</f>
        <v>0</v>
      </c>
      <c r="H11" s="33">
        <f>RT60_Fitzroy!E14</f>
        <v>0</v>
      </c>
      <c r="I11" s="33">
        <f>RT60_Fitzroy!F14</f>
        <v>0</v>
      </c>
      <c r="J11" s="33">
        <f>RT60_Fitzroy!G14</f>
        <v>0</v>
      </c>
      <c r="K11" s="33">
        <f>RT60_Fitzroy!H14</f>
        <v>0</v>
      </c>
    </row>
    <row r="12" spans="1:19" x14ac:dyDescent="0.35">
      <c r="D12" s="1" t="str">
        <f>RT60_Fitzroy!A15</f>
        <v>Description</v>
      </c>
      <c r="E12" s="32">
        <f>RT60_Fitzroy!B15</f>
        <v>0</v>
      </c>
      <c r="F12" s="33">
        <f>RT60_Fitzroy!C15</f>
        <v>0</v>
      </c>
      <c r="G12" s="33">
        <f>RT60_Fitzroy!D15</f>
        <v>0</v>
      </c>
      <c r="H12" s="33">
        <f>RT60_Fitzroy!E15</f>
        <v>0</v>
      </c>
      <c r="I12" s="33">
        <f>RT60_Fitzroy!F15</f>
        <v>0</v>
      </c>
      <c r="J12" s="33">
        <f>RT60_Fitzroy!G15</f>
        <v>0</v>
      </c>
      <c r="K12" s="33">
        <f>RT60_Fitzroy!H15</f>
        <v>0</v>
      </c>
    </row>
    <row r="13" spans="1:19" x14ac:dyDescent="0.35">
      <c r="D13" s="1" t="str">
        <f>RT60_Fitzroy!A16</f>
        <v>Description</v>
      </c>
      <c r="E13" s="32">
        <f>RT60_Fitzroy!B16</f>
        <v>0</v>
      </c>
      <c r="F13" s="33">
        <f>RT60_Fitzroy!C16</f>
        <v>0</v>
      </c>
      <c r="G13" s="33">
        <f>RT60_Fitzroy!D16</f>
        <v>0</v>
      </c>
      <c r="H13" s="33">
        <f>RT60_Fitzroy!E16</f>
        <v>0</v>
      </c>
      <c r="I13" s="33">
        <f>RT60_Fitzroy!F16</f>
        <v>0</v>
      </c>
      <c r="J13" s="33">
        <f>RT60_Fitzroy!G16</f>
        <v>0</v>
      </c>
      <c r="K13" s="33">
        <f>RT60_Fitzroy!H16</f>
        <v>0</v>
      </c>
    </row>
    <row r="14" spans="1:19" x14ac:dyDescent="0.35">
      <c r="D14" s="1" t="str">
        <f>RT60_Fitzroy!A17</f>
        <v>Description</v>
      </c>
      <c r="E14" s="32">
        <f>RT60_Fitzroy!B17</f>
        <v>0</v>
      </c>
      <c r="F14" s="33">
        <f>RT60_Fitzroy!C17</f>
        <v>0</v>
      </c>
      <c r="G14" s="33">
        <f>RT60_Fitzroy!D17</f>
        <v>0</v>
      </c>
      <c r="H14" s="33">
        <f>RT60_Fitzroy!E17</f>
        <v>0</v>
      </c>
      <c r="I14" s="33">
        <f>RT60_Fitzroy!F17</f>
        <v>0</v>
      </c>
      <c r="J14" s="33">
        <f>RT60_Fitzroy!G17</f>
        <v>0</v>
      </c>
      <c r="K14" s="33">
        <f>RT60_Fitzroy!H17</f>
        <v>0</v>
      </c>
    </row>
    <row r="15" spans="1:19" x14ac:dyDescent="0.35">
      <c r="D15" s="1" t="str">
        <f>RT60_Fitzroy!A18</f>
        <v>Description</v>
      </c>
      <c r="E15" s="32">
        <f>RT60_Fitzroy!B18</f>
        <v>0</v>
      </c>
      <c r="F15" s="33">
        <f>RT60_Fitzroy!C18</f>
        <v>0</v>
      </c>
      <c r="G15" s="33">
        <f>RT60_Fitzroy!D18</f>
        <v>0</v>
      </c>
      <c r="H15" s="33">
        <f>RT60_Fitzroy!E18</f>
        <v>0</v>
      </c>
      <c r="I15" s="33">
        <f>RT60_Fitzroy!F18</f>
        <v>0</v>
      </c>
      <c r="J15" s="33">
        <f>RT60_Fitzroy!G18</f>
        <v>0</v>
      </c>
      <c r="K15" s="33">
        <f>RT60_Fitzroy!H18</f>
        <v>0</v>
      </c>
    </row>
    <row r="17" spans="1:11" ht="16.5" x14ac:dyDescent="0.35">
      <c r="D17" s="20" t="s">
        <v>53</v>
      </c>
      <c r="E17" s="1" t="s">
        <v>44</v>
      </c>
      <c r="F17" s="1" t="s">
        <v>33</v>
      </c>
      <c r="G17" s="1" t="s">
        <v>34</v>
      </c>
      <c r="H17" s="1" t="s">
        <v>35</v>
      </c>
      <c r="I17" s="1" t="s">
        <v>36</v>
      </c>
      <c r="J17" s="1" t="s">
        <v>37</v>
      </c>
      <c r="K17" s="1" t="s">
        <v>38</v>
      </c>
    </row>
    <row r="18" spans="1:11" x14ac:dyDescent="0.35">
      <c r="D18" s="1" t="str">
        <f>RT60_Fitzroy!A21</f>
        <v>Wood parquet on concrete</v>
      </c>
      <c r="E18" s="32">
        <f>RT60_Fitzroy!B21</f>
        <v>30</v>
      </c>
      <c r="F18" s="33">
        <f>RT60_Fitzroy!C21</f>
        <v>0.04</v>
      </c>
      <c r="G18" s="33">
        <f>RT60_Fitzroy!D21</f>
        <v>0.04</v>
      </c>
      <c r="H18" s="33">
        <f>RT60_Fitzroy!E21</f>
        <v>7.0000000000000007E-2</v>
      </c>
      <c r="I18" s="33">
        <f>RT60_Fitzroy!F21</f>
        <v>0.06</v>
      </c>
      <c r="J18" s="33">
        <f>RT60_Fitzroy!G21</f>
        <v>0.06</v>
      </c>
      <c r="K18" s="33">
        <f>RT60_Fitzroy!H21</f>
        <v>7.0000000000000007E-2</v>
      </c>
    </row>
    <row r="19" spans="1:11" x14ac:dyDescent="0.35">
      <c r="D19" s="1" t="str">
        <f>RT60_Fitzroy!A22</f>
        <v>Description</v>
      </c>
      <c r="E19" s="32">
        <f>RT60_Fitzroy!B22</f>
        <v>45</v>
      </c>
      <c r="F19" s="33">
        <f>RT60_Fitzroy!C22</f>
        <v>0.8</v>
      </c>
      <c r="G19" s="33">
        <f>RT60_Fitzroy!D22</f>
        <v>0</v>
      </c>
      <c r="H19" s="33">
        <f>RT60_Fitzroy!E22</f>
        <v>0</v>
      </c>
      <c r="I19" s="33">
        <f>RT60_Fitzroy!F22</f>
        <v>0</v>
      </c>
      <c r="J19" s="33">
        <f>RT60_Fitzroy!G22</f>
        <v>0</v>
      </c>
      <c r="K19" s="33">
        <f>RT60_Fitzroy!H22</f>
        <v>0</v>
      </c>
    </row>
    <row r="20" spans="1:11" x14ac:dyDescent="0.35">
      <c r="D20" s="1" t="str">
        <f>RT60_Fitzroy!A23</f>
        <v>Description</v>
      </c>
      <c r="E20" s="32">
        <f>RT60_Fitzroy!B23</f>
        <v>0</v>
      </c>
      <c r="F20" s="33">
        <f>RT60_Fitzroy!C23</f>
        <v>0</v>
      </c>
      <c r="G20" s="33">
        <f>RT60_Fitzroy!D23</f>
        <v>0</v>
      </c>
      <c r="H20" s="33">
        <f>RT60_Fitzroy!E23</f>
        <v>0</v>
      </c>
      <c r="I20" s="33">
        <f>RT60_Fitzroy!F23</f>
        <v>0</v>
      </c>
      <c r="J20" s="33">
        <f>RT60_Fitzroy!G23</f>
        <v>0</v>
      </c>
      <c r="K20" s="33">
        <f>RT60_Fitzroy!H23</f>
        <v>0</v>
      </c>
    </row>
    <row r="21" spans="1:11" x14ac:dyDescent="0.35">
      <c r="D21" s="1" t="str">
        <f>RT60_Fitzroy!A24</f>
        <v>Description</v>
      </c>
      <c r="E21" s="32">
        <f>RT60_Fitzroy!B24</f>
        <v>0</v>
      </c>
      <c r="F21" s="33">
        <f>RT60_Fitzroy!C24</f>
        <v>0</v>
      </c>
      <c r="G21" s="33">
        <f>RT60_Fitzroy!D24</f>
        <v>0</v>
      </c>
      <c r="H21" s="33">
        <f>RT60_Fitzroy!E24</f>
        <v>0</v>
      </c>
      <c r="I21" s="33">
        <f>RT60_Fitzroy!F24</f>
        <v>0</v>
      </c>
      <c r="J21" s="33">
        <f>RT60_Fitzroy!G24</f>
        <v>0</v>
      </c>
      <c r="K21" s="33">
        <f>RT60_Fitzroy!H24</f>
        <v>0</v>
      </c>
    </row>
    <row r="22" spans="1:11" x14ac:dyDescent="0.35">
      <c r="D22" s="1" t="str">
        <f>RT60_Fitzroy!A25</f>
        <v>Description</v>
      </c>
      <c r="E22" s="32">
        <f>RT60_Fitzroy!B25</f>
        <v>0</v>
      </c>
      <c r="F22" s="33">
        <f>RT60_Fitzroy!C25</f>
        <v>0</v>
      </c>
      <c r="G22" s="33">
        <f>RT60_Fitzroy!D25</f>
        <v>0</v>
      </c>
      <c r="H22" s="33">
        <f>RT60_Fitzroy!E25</f>
        <v>0</v>
      </c>
      <c r="I22" s="33">
        <f>RT60_Fitzroy!F25</f>
        <v>0</v>
      </c>
      <c r="J22" s="33">
        <f>RT60_Fitzroy!G25</f>
        <v>0</v>
      </c>
      <c r="K22" s="33">
        <f>RT60_Fitzroy!H25</f>
        <v>0</v>
      </c>
    </row>
    <row r="23" spans="1:11" x14ac:dyDescent="0.35">
      <c r="D23" s="1" t="str">
        <f>RT60_Fitzroy!A26</f>
        <v>Description</v>
      </c>
      <c r="E23" s="32">
        <f>RT60_Fitzroy!B26</f>
        <v>0</v>
      </c>
      <c r="F23" s="33">
        <f>RT60_Fitzroy!C26</f>
        <v>0</v>
      </c>
      <c r="G23" s="33">
        <f>RT60_Fitzroy!D26</f>
        <v>0</v>
      </c>
      <c r="H23" s="33">
        <f>RT60_Fitzroy!E26</f>
        <v>0</v>
      </c>
      <c r="I23" s="33">
        <f>RT60_Fitzroy!F26</f>
        <v>0</v>
      </c>
      <c r="J23" s="33">
        <f>RT60_Fitzroy!G26</f>
        <v>0</v>
      </c>
      <c r="K23" s="33">
        <f>RT60_Fitzroy!H26</f>
        <v>0</v>
      </c>
    </row>
    <row r="25" spans="1:11" x14ac:dyDescent="0.35">
      <c r="F25" s="52" t="s">
        <v>45</v>
      </c>
      <c r="G25" s="52"/>
      <c r="H25" s="52"/>
      <c r="I25" s="52"/>
      <c r="J25" s="52"/>
      <c r="K25" s="52"/>
    </row>
    <row r="26" spans="1:11" x14ac:dyDescent="0.35">
      <c r="A26" s="29" t="s">
        <v>54</v>
      </c>
      <c r="B26" s="30"/>
      <c r="C26" s="31"/>
      <c r="E26" s="19" t="s">
        <v>59</v>
      </c>
      <c r="F26" s="16" t="s">
        <v>58</v>
      </c>
      <c r="G26" s="17" t="s">
        <v>34</v>
      </c>
      <c r="H26" s="17" t="s">
        <v>35</v>
      </c>
      <c r="I26" s="17" t="s">
        <v>36</v>
      </c>
      <c r="J26" s="17" t="s">
        <v>37</v>
      </c>
      <c r="K26" s="18" t="s">
        <v>38</v>
      </c>
    </row>
    <row r="27" spans="1:11" x14ac:dyDescent="0.35">
      <c r="E27" s="19" t="s">
        <v>51</v>
      </c>
      <c r="F27" s="22" cm="1">
        <f t="array" ref="F27">(SUM($E2:$E7*F2:F7))/$B5</f>
        <v>5.45E-2</v>
      </c>
      <c r="G27" s="22" cm="1">
        <f t="array" ref="G27">(SUM($E2:$E7*G2:G7))/$B5</f>
        <v>9.0000000000000011E-3</v>
      </c>
      <c r="H27" s="22" cm="1">
        <f t="array" ref="H27">(SUM($E2:$E7*H2:H7))/$B5</f>
        <v>1.8000000000000002E-2</v>
      </c>
      <c r="I27" s="22" cm="1">
        <f t="array" ref="I27">(SUM($E2:$E7*I2:I7))/$B5</f>
        <v>2.6999999999999996E-2</v>
      </c>
      <c r="J27" s="22" cm="1">
        <f t="array" ref="J27">(SUM($E2:$E7*J2:J7))/$B5</f>
        <v>3.6000000000000004E-2</v>
      </c>
      <c r="K27" s="22" cm="1">
        <f t="array" ref="K27">(SUM($E2:$E7*K2:K7))/$B5</f>
        <v>4.4999999999999998E-2</v>
      </c>
    </row>
    <row r="28" spans="1:11" x14ac:dyDescent="0.35">
      <c r="E28" s="19" t="s">
        <v>49</v>
      </c>
      <c r="F28" s="22" cm="1">
        <f t="array" ref="F28">(SUM($E10:$E15*F10:F15))/$B6</f>
        <v>1.40625E-2</v>
      </c>
      <c r="G28" s="22" cm="1">
        <f t="array" ref="G28">(SUM($E10:$E15*G10:G15))/$B6</f>
        <v>2.8125000000000001E-2</v>
      </c>
      <c r="H28" s="22" cm="1">
        <f t="array" ref="H28">(SUM($E10:$E15*H10:H15))/$B6</f>
        <v>2.8125000000000001E-2</v>
      </c>
      <c r="I28" s="22" cm="1">
        <f t="array" ref="I28">(SUM($E10:$E15*I10:I15))/$B6</f>
        <v>2.8125000000000001E-2</v>
      </c>
      <c r="J28" s="22" cm="1">
        <f t="array" ref="J28">(SUM($E10:$E15*J10:J15))/$B6</f>
        <v>0.1125</v>
      </c>
      <c r="K28" s="22" cm="1">
        <f t="array" ref="K28">(SUM($E10:$E15*K10:K15))/$B6</f>
        <v>2.8125000000000001E-2</v>
      </c>
    </row>
    <row r="29" spans="1:11" x14ac:dyDescent="0.35">
      <c r="E29" s="19" t="s">
        <v>48</v>
      </c>
      <c r="F29" s="22" cm="1">
        <f t="array" ref="F29">(SUM($E18:$E23*F18:F23))/$B7</f>
        <v>0.82666666666666677</v>
      </c>
      <c r="G29" s="22" cm="1">
        <f t="array" ref="G29">(SUM($E18:$E23*G18:G23))/$B7</f>
        <v>2.6666666666666665E-2</v>
      </c>
      <c r="H29" s="22" cm="1">
        <f t="array" ref="H29">(SUM($E18:$E23*H18:H23))/$B7</f>
        <v>4.6666666666666669E-2</v>
      </c>
      <c r="I29" s="22" cm="1">
        <f t="array" ref="I29">(SUM($E18:$E23*I18:I23))/$B7</f>
        <v>3.9999999999999994E-2</v>
      </c>
      <c r="J29" s="22" cm="1">
        <f t="array" ref="J29">(SUM($E18:$E23*J18:J23))/$B7</f>
        <v>3.9999999999999994E-2</v>
      </c>
      <c r="K29" s="22" cm="1">
        <f t="array" ref="K29">(SUM($E18:$E23*K18:K23))/$B7</f>
        <v>4.6666666666666669E-2</v>
      </c>
    </row>
  </sheetData>
  <mergeCells count="4">
    <mergeCell ref="A1:B1"/>
    <mergeCell ref="A2:B2"/>
    <mergeCell ref="N4:S4"/>
    <mergeCell ref="F25:K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4</vt:i4>
      </vt:variant>
      <vt:variant>
        <vt:lpstr>Καθορισμένες περιοχές</vt:lpstr>
      </vt:variant>
      <vt:variant>
        <vt:i4>5</vt:i4>
      </vt:variant>
    </vt:vector>
  </HeadingPairs>
  <TitlesOfParts>
    <vt:vector size="9" baseType="lpstr">
      <vt:lpstr>Properties_Fitzroy</vt:lpstr>
      <vt:lpstr>RT60_Fitzroy</vt:lpstr>
      <vt:lpstr>Best RT60_Fitzroy</vt:lpstr>
      <vt:lpstr>Fitzroy_Calculations</vt:lpstr>
      <vt:lpstr>Church</vt:lpstr>
      <vt:lpstr>Cinema</vt:lpstr>
      <vt:lpstr>Concert_Hall</vt:lpstr>
      <vt:lpstr>Opera_House</vt:lpstr>
      <vt:lpstr>Reference_Hall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</dc:creator>
  <cp:lastModifiedBy>Katerina Papadaki</cp:lastModifiedBy>
  <dcterms:created xsi:type="dcterms:W3CDTF">2018-05-23T12:12:05Z</dcterms:created>
  <dcterms:modified xsi:type="dcterms:W3CDTF">2023-05-23T18:26:55Z</dcterms:modified>
</cp:coreProperties>
</file>