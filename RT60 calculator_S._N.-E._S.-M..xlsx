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bacd256c5d7509/Υπολογιστής/πτυχιακή/"/>
    </mc:Choice>
  </mc:AlternateContent>
  <xr:revisionPtr revIDLastSave="48" documentId="13_ncr:1_{51DA38B6-06D3-423A-B59A-DC504298126A}" xr6:coauthVersionLast="47" xr6:coauthVersionMax="47" xr10:uidLastSave="{A0F50A93-AAD1-4F71-8821-F27DA57E9FF5}"/>
  <bookViews>
    <workbookView xWindow="-110" yWindow="-110" windowWidth="19420" windowHeight="10300" tabRatio="638" firstSheet="1" activeTab="1" xr2:uid="{00000000-000D-0000-FFFF-FFFF00000000}"/>
  </bookViews>
  <sheets>
    <sheet name="Properties" sheetId="2" r:id="rId1"/>
    <sheet name="RT60" sheetId="3" r:id="rId2"/>
    <sheet name="Best RT60" sheetId="14" r:id="rId3"/>
    <sheet name="Sabine + NorrisEyring" sheetId="11" r:id="rId4"/>
    <sheet name="Air absorption" sheetId="7" r:id="rId5"/>
    <sheet name="Sette-Millington" sheetId="8" r:id="rId6"/>
    <sheet name="Critical Distance" sheetId="12" r:id="rId7"/>
  </sheets>
  <definedNames>
    <definedName name="Church">'Best RT60'!$B$4</definedName>
    <definedName name="Cinema">'Best RT60'!$B$5</definedName>
    <definedName name="Concert_Hall">'Best RT60'!$B$2</definedName>
    <definedName name="Opera_House">'Best RT60'!$B$3</definedName>
    <definedName name="Reference_Hall">'Best RT60'!$B$6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D17" i="3"/>
  <c r="E17" i="3"/>
  <c r="F17" i="3"/>
  <c r="G17" i="3"/>
  <c r="H17" i="3"/>
  <c r="D16" i="3"/>
  <c r="E16" i="3"/>
  <c r="F16" i="3"/>
  <c r="G16" i="3"/>
  <c r="H16" i="3"/>
  <c r="C16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C9" i="3"/>
  <c r="D9" i="3"/>
  <c r="E9" i="3"/>
  <c r="F9" i="3"/>
  <c r="G9" i="3"/>
  <c r="H9" i="3"/>
  <c r="C10" i="3"/>
  <c r="D10" i="3"/>
  <c r="E10" i="3"/>
  <c r="F10" i="3"/>
  <c r="G10" i="3"/>
  <c r="H10" i="3"/>
  <c r="C11" i="3"/>
  <c r="D11" i="3"/>
  <c r="E11" i="3"/>
  <c r="F11" i="3"/>
  <c r="G11" i="3"/>
  <c r="H11" i="3"/>
  <c r="C12" i="3"/>
  <c r="D12" i="3"/>
  <c r="E12" i="3"/>
  <c r="F12" i="3"/>
  <c r="G12" i="3"/>
  <c r="H12" i="3"/>
  <c r="C13" i="3"/>
  <c r="D13" i="3"/>
  <c r="E13" i="3"/>
  <c r="F13" i="3"/>
  <c r="G13" i="3"/>
  <c r="H13" i="3"/>
  <c r="D5" i="3"/>
  <c r="E5" i="3"/>
  <c r="F5" i="3"/>
  <c r="G5" i="3"/>
  <c r="H5" i="3"/>
  <c r="C5" i="3"/>
  <c r="C2" i="12" l="1"/>
  <c r="D2" i="12"/>
  <c r="E2" i="12"/>
  <c r="F2" i="12"/>
  <c r="G2" i="12"/>
  <c r="B2" i="12"/>
  <c r="C20" i="11"/>
  <c r="C21" i="11"/>
  <c r="C19" i="11"/>
  <c r="B2" i="11"/>
  <c r="E7" i="14"/>
  <c r="E10" i="14" s="1"/>
  <c r="S11" i="3" s="1"/>
  <c r="E2" i="14"/>
  <c r="E4" i="14" s="1"/>
  <c r="L22" i="3" l="1"/>
  <c r="M22" i="3"/>
  <c r="N22" i="3"/>
  <c r="K22" i="3"/>
  <c r="M2" i="7" l="1"/>
  <c r="M5" i="7" s="1"/>
  <c r="A16" i="8"/>
  <c r="B16" i="8"/>
  <c r="N2" i="7" l="1"/>
  <c r="N5" i="7" s="1"/>
  <c r="P22" i="3" l="1"/>
  <c r="B19" i="11"/>
  <c r="A17" i="8" s="1"/>
  <c r="B2" i="8"/>
  <c r="B3" i="8"/>
  <c r="B4" i="8"/>
  <c r="B5" i="8"/>
  <c r="B6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A7" i="8"/>
  <c r="A8" i="8"/>
  <c r="A9" i="8"/>
  <c r="A10" i="8"/>
  <c r="E6" i="11"/>
  <c r="F6" i="11"/>
  <c r="G6" i="11"/>
  <c r="H6" i="11"/>
  <c r="D6" i="11"/>
  <c r="E5" i="11"/>
  <c r="G5" i="11"/>
  <c r="H5" i="11"/>
  <c r="I5" i="11"/>
  <c r="D5" i="11"/>
  <c r="B5" i="11"/>
  <c r="G4" i="8"/>
  <c r="D4" i="11"/>
  <c r="B4" i="11"/>
  <c r="E3" i="11"/>
  <c r="F3" i="11"/>
  <c r="F3" i="8"/>
  <c r="D3" i="11"/>
  <c r="B17" i="8"/>
  <c r="D20" i="11"/>
  <c r="C18" i="8" s="1"/>
  <c r="E20" i="11"/>
  <c r="D18" i="8" s="1"/>
  <c r="F20" i="11"/>
  <c r="E18" i="8" s="1"/>
  <c r="G20" i="11"/>
  <c r="F18" i="8" s="1"/>
  <c r="H20" i="11"/>
  <c r="G18" i="8" s="1"/>
  <c r="I20" i="11"/>
  <c r="H18" i="8" s="1"/>
  <c r="B19" i="8"/>
  <c r="D21" i="11"/>
  <c r="C19" i="8" s="1"/>
  <c r="E21" i="11"/>
  <c r="D19" i="8" s="1"/>
  <c r="F21" i="11"/>
  <c r="E19" i="8" s="1"/>
  <c r="G21" i="11"/>
  <c r="F19" i="8" s="1"/>
  <c r="H21" i="11"/>
  <c r="G19" i="8" s="1"/>
  <c r="I21" i="11"/>
  <c r="H19" i="8" s="1"/>
  <c r="B20" i="11"/>
  <c r="A18" i="8" s="1"/>
  <c r="B21" i="11"/>
  <c r="A19" i="8" s="1"/>
  <c r="D8" i="11"/>
  <c r="E8" i="11"/>
  <c r="F8" i="11"/>
  <c r="G8" i="11"/>
  <c r="H8" i="11"/>
  <c r="I8" i="11"/>
  <c r="D9" i="11"/>
  <c r="E9" i="11"/>
  <c r="F9" i="11"/>
  <c r="G9" i="11"/>
  <c r="H9" i="11"/>
  <c r="I9" i="11"/>
  <c r="D10" i="11"/>
  <c r="E10" i="11"/>
  <c r="F10" i="11"/>
  <c r="G10" i="11"/>
  <c r="H10" i="11"/>
  <c r="I10" i="11"/>
  <c r="D7" i="11"/>
  <c r="E7" i="11"/>
  <c r="F7" i="11"/>
  <c r="G7" i="11"/>
  <c r="H7" i="11"/>
  <c r="I7" i="11"/>
  <c r="C3" i="11"/>
  <c r="C4" i="11"/>
  <c r="C5" i="11"/>
  <c r="C6" i="11"/>
  <c r="C7" i="11"/>
  <c r="C8" i="11"/>
  <c r="C9" i="11"/>
  <c r="C10" i="11"/>
  <c r="B7" i="11"/>
  <c r="B8" i="11"/>
  <c r="B9" i="11"/>
  <c r="B10" i="11"/>
  <c r="B3" i="11" l="1"/>
  <c r="A3" i="8"/>
  <c r="B6" i="11"/>
  <c r="A6" i="8"/>
  <c r="E5" i="8"/>
  <c r="A2" i="8"/>
  <c r="D3" i="8"/>
  <c r="D5" i="8"/>
  <c r="E3" i="8"/>
  <c r="C5" i="8"/>
  <c r="C3" i="8"/>
  <c r="G4" i="11"/>
  <c r="C6" i="8"/>
  <c r="F4" i="8"/>
  <c r="F4" i="11"/>
  <c r="E4" i="8"/>
  <c r="E4" i="11"/>
  <c r="A5" i="8"/>
  <c r="G5" i="8"/>
  <c r="D4" i="8"/>
  <c r="A4" i="8"/>
  <c r="F5" i="8"/>
  <c r="C4" i="8"/>
  <c r="I3" i="11"/>
  <c r="C11" i="11"/>
  <c r="B4" i="12" s="1"/>
  <c r="H3" i="11"/>
  <c r="F6" i="8"/>
  <c r="F5" i="11"/>
  <c r="H3" i="8"/>
  <c r="I4" i="11"/>
  <c r="I6" i="11"/>
  <c r="H4" i="8"/>
  <c r="G3" i="8"/>
  <c r="H6" i="8"/>
  <c r="G6" i="8"/>
  <c r="G3" i="11"/>
  <c r="E6" i="8"/>
  <c r="D6" i="8"/>
  <c r="H4" i="11"/>
  <c r="H5" i="8"/>
  <c r="G2" i="8" l="1"/>
  <c r="H2" i="11"/>
  <c r="H15" i="11" s="1"/>
  <c r="O6" i="3" s="1"/>
  <c r="E2" i="8"/>
  <c r="F2" i="11"/>
  <c r="F15" i="11" s="1"/>
  <c r="M6" i="3" s="1"/>
  <c r="D2" i="8"/>
  <c r="E2" i="11"/>
  <c r="E15" i="11" s="1"/>
  <c r="L6" i="3" s="1"/>
  <c r="D2" i="11"/>
  <c r="D15" i="11" s="1"/>
  <c r="K6" i="3" s="1"/>
  <c r="C2" i="8"/>
  <c r="H2" i="8"/>
  <c r="I2" i="11"/>
  <c r="I15" i="11" s="1"/>
  <c r="P6" i="3" s="1"/>
  <c r="F2" i="8"/>
  <c r="G2" i="11"/>
  <c r="G15" i="11" s="1"/>
  <c r="N6" i="3" s="1"/>
  <c r="D19" i="11"/>
  <c r="D23" i="11" s="1"/>
  <c r="C13" i="8" l="1" a="1"/>
  <c r="C13" i="8" s="1"/>
  <c r="C17" i="8"/>
  <c r="C21" i="8" s="1"/>
  <c r="F13" i="8" a="1"/>
  <c r="F13" i="8" s="1"/>
  <c r="N8" i="3" s="1"/>
  <c r="H13" i="8" a="1"/>
  <c r="H13" i="8" s="1"/>
  <c r="P8" i="3" s="1"/>
  <c r="D13" i="8" a="1"/>
  <c r="D13" i="8" s="1"/>
  <c r="L8" i="3" s="1"/>
  <c r="E13" i="8" a="1"/>
  <c r="E13" i="8" s="1"/>
  <c r="M8" i="3" s="1"/>
  <c r="G13" i="8" a="1"/>
  <c r="G13" i="8" s="1"/>
  <c r="O8" i="3" s="1"/>
  <c r="H13" i="11"/>
  <c r="D13" i="11"/>
  <c r="I13" i="11"/>
  <c r="F13" i="11"/>
  <c r="G13" i="11"/>
  <c r="E13" i="11"/>
  <c r="E19" i="11"/>
  <c r="F19" i="11"/>
  <c r="G19" i="11"/>
  <c r="H19" i="11"/>
  <c r="I19" i="11"/>
  <c r="G16" i="11" l="1"/>
  <c r="N7" i="3" s="1"/>
  <c r="E7" i="12"/>
  <c r="E12" i="12" s="1"/>
  <c r="I16" i="11"/>
  <c r="P7" i="3" s="1"/>
  <c r="G7" i="12"/>
  <c r="G12" i="12" s="1"/>
  <c r="D16" i="11"/>
  <c r="K7" i="3" s="1"/>
  <c r="B7" i="12"/>
  <c r="B12" i="12" s="1"/>
  <c r="E16" i="11"/>
  <c r="L7" i="3" s="1"/>
  <c r="C7" i="12"/>
  <c r="C12" i="12" s="1"/>
  <c r="F16" i="11"/>
  <c r="M7" i="3" s="1"/>
  <c r="D7" i="12"/>
  <c r="D12" i="12" s="1"/>
  <c r="H16" i="11"/>
  <c r="O7" i="3" s="1"/>
  <c r="F7" i="12"/>
  <c r="F12" i="12" s="1"/>
  <c r="D25" i="11"/>
  <c r="N3" i="11" s="1"/>
  <c r="S6" i="3" s="1"/>
  <c r="K12" i="3"/>
  <c r="C24" i="8"/>
  <c r="K8" i="3"/>
  <c r="I23" i="11"/>
  <c r="I25" i="11" s="1"/>
  <c r="H17" i="8"/>
  <c r="H21" i="8" s="1"/>
  <c r="G23" i="11"/>
  <c r="F17" i="8"/>
  <c r="F21" i="8" s="1"/>
  <c r="H23" i="11"/>
  <c r="O12" i="3" s="1"/>
  <c r="G17" i="8"/>
  <c r="G21" i="8" s="1"/>
  <c r="F23" i="11"/>
  <c r="E17" i="8"/>
  <c r="E21" i="8" s="1"/>
  <c r="E23" i="11"/>
  <c r="D17" i="8"/>
  <c r="D21" i="8" s="1"/>
  <c r="E24" i="8" l="1"/>
  <c r="G24" i="8"/>
  <c r="F24" i="8"/>
  <c r="D24" i="8"/>
  <c r="H24" i="8"/>
  <c r="T15" i="3"/>
  <c r="S15" i="3"/>
  <c r="U15" i="3"/>
  <c r="V15" i="3"/>
  <c r="W15" i="3"/>
  <c r="X15" i="3"/>
  <c r="K18" i="3"/>
  <c r="L3" i="8"/>
  <c r="S8" i="3" s="1"/>
  <c r="N9" i="7"/>
  <c r="U5" i="7" s="1"/>
  <c r="X9" i="3" s="1"/>
  <c r="S3" i="11"/>
  <c r="X6" i="3" s="1"/>
  <c r="D26" i="11"/>
  <c r="N6" i="11" s="1"/>
  <c r="S7" i="3" s="1"/>
  <c r="I9" i="7"/>
  <c r="P5" i="7" s="1"/>
  <c r="S9" i="3" s="1"/>
  <c r="G25" i="11"/>
  <c r="N12" i="3"/>
  <c r="E25" i="11"/>
  <c r="L12" i="3"/>
  <c r="I26" i="11"/>
  <c r="S6" i="11" s="1"/>
  <c r="P12" i="3"/>
  <c r="F26" i="11"/>
  <c r="P6" i="11" s="1"/>
  <c r="M12" i="3"/>
  <c r="H25" i="11"/>
  <c r="P16" i="3"/>
  <c r="K16" i="3"/>
  <c r="H26" i="11"/>
  <c r="R6" i="11" s="1"/>
  <c r="E26" i="11"/>
  <c r="O6" i="11" s="1"/>
  <c r="F25" i="11"/>
  <c r="G26" i="11"/>
  <c r="Q6" i="11" s="1"/>
  <c r="O3" i="8" l="1"/>
  <c r="V8" i="3" s="1"/>
  <c r="N18" i="3"/>
  <c r="Q3" i="8"/>
  <c r="X8" i="3" s="1"/>
  <c r="P18" i="3"/>
  <c r="N3" i="8"/>
  <c r="U8" i="3" s="1"/>
  <c r="M18" i="3"/>
  <c r="M3" i="8"/>
  <c r="T8" i="3" s="1"/>
  <c r="L18" i="3"/>
  <c r="P3" i="8"/>
  <c r="W8" i="3" s="1"/>
  <c r="O18" i="3"/>
  <c r="K17" i="3"/>
  <c r="J9" i="7"/>
  <c r="Q5" i="7" s="1"/>
  <c r="T9" i="3" s="1"/>
  <c r="O3" i="11"/>
  <c r="T6" i="3" s="1"/>
  <c r="L9" i="7"/>
  <c r="S5" i="7" s="1"/>
  <c r="V9" i="3" s="1"/>
  <c r="Q3" i="11"/>
  <c r="V6" i="3" s="1"/>
  <c r="K9" i="7"/>
  <c r="R5" i="7" s="1"/>
  <c r="U9" i="3" s="1"/>
  <c r="P3" i="11"/>
  <c r="U6" i="3" s="1"/>
  <c r="M9" i="7"/>
  <c r="T5" i="7" s="1"/>
  <c r="W9" i="3" s="1"/>
  <c r="R3" i="11"/>
  <c r="W6" i="3" s="1"/>
  <c r="O16" i="3"/>
  <c r="M16" i="3"/>
  <c r="X7" i="3"/>
  <c r="P17" i="3"/>
  <c r="W7" i="3"/>
  <c r="O17" i="3"/>
  <c r="N16" i="3"/>
  <c r="V7" i="3"/>
  <c r="N17" i="3"/>
  <c r="T7" i="3"/>
  <c r="L17" i="3"/>
  <c r="U7" i="3"/>
  <c r="M17" i="3"/>
  <c r="L16" i="3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<sst xmlns="http://schemas.openxmlformats.org/spreadsheetml/2006/main" count="286" uniqueCount="121">
  <si>
    <t>Description</t>
  </si>
  <si>
    <t>Occupied audience,orchestra,chorus</t>
  </si>
  <si>
    <t>Upholstered seats,cloth-covered,perforated bottoms</t>
  </si>
  <si>
    <t>Upholstered seats,leather-covered</t>
  </si>
  <si>
    <t>Carpet,heavy on concrete</t>
  </si>
  <si>
    <t>Acoustic plaster (approximate)</t>
  </si>
  <si>
    <t>Acoustic tile on rigid surface</t>
  </si>
  <si>
    <t>Acoustic tile, suspended (false ceiling)</t>
  </si>
  <si>
    <t>Wooden platform with airspace</t>
  </si>
  <si>
    <t>Wood paneling 3/8-1/2 in. over 2-4 in. airspace</t>
  </si>
  <si>
    <t>Plywood, 1/4 in. on studs fiberglass backing</t>
  </si>
  <si>
    <t>wooden walls, 2 in.</t>
  </si>
  <si>
    <t>Floor, wooden</t>
  </si>
  <si>
    <t>Floor, linoleum, flexible tile, on concrete</t>
  </si>
  <si>
    <t xml:space="preserve">Floor, linoleum, flexible tile, on subfloor </t>
  </si>
  <si>
    <t>Floor, terrazzo</t>
  </si>
  <si>
    <t>Plaster, smooth on lath</t>
  </si>
  <si>
    <t>Plaster, smooth on lath on studs</t>
  </si>
  <si>
    <t>Plaster, 1 in. damped on concrete block,brick,lath</t>
  </si>
  <si>
    <t>Glass, heavy plate</t>
  </si>
  <si>
    <t>Glass, windowpane</t>
  </si>
  <si>
    <t>Brick, unglazed, no paint</t>
  </si>
  <si>
    <t>Gypsum, 1/2 in.on studs</t>
  </si>
  <si>
    <t>Brick, smooth plaster finish</t>
  </si>
  <si>
    <t>Concrete block, no paint</t>
  </si>
  <si>
    <t>Concrete block, painted</t>
  </si>
  <si>
    <t>Concrete block, smooth plaster finish</t>
  </si>
  <si>
    <t>Concrete block, slotted two-well</t>
  </si>
  <si>
    <t>Perforated panel over isolation blanket, 10% open area</t>
  </si>
  <si>
    <t>Fiberglass, 1 in. on rigid backing</t>
  </si>
  <si>
    <t>Fiberglass, 2 in. on rigid backing</t>
  </si>
  <si>
    <t>Fiberglass, 2 in. on rigid backing, 1 in. airspace</t>
  </si>
  <si>
    <t>Fiberglass, 4 in. on rigid backing</t>
  </si>
  <si>
    <t xml:space="preserve">125 Hz     </t>
  </si>
  <si>
    <t>250 Hz</t>
  </si>
  <si>
    <t>500 Hz</t>
  </si>
  <si>
    <t>1000 Hz</t>
  </si>
  <si>
    <t>2000 Hz</t>
  </si>
  <si>
    <t>4000 Hz</t>
  </si>
  <si>
    <r>
      <t>Single person or heavily upholstered seat(</t>
    </r>
    <r>
      <rPr>
        <sz val="11"/>
        <color theme="1"/>
        <rFont val="Calibri"/>
        <family val="2"/>
        <charset val="161"/>
      </rPr>
      <t>± 0.10        )</t>
    </r>
  </si>
  <si>
    <t>Wooden chair, table, furnishing, for one person</t>
  </si>
  <si>
    <t xml:space="preserve">Sound Absorption A in </t>
  </si>
  <si>
    <t>Frequency (Hz)</t>
  </si>
  <si>
    <t>Number of objects</t>
  </si>
  <si>
    <t>Material</t>
  </si>
  <si>
    <t>Object</t>
  </si>
  <si>
    <t>Object absorption</t>
  </si>
  <si>
    <t>Total absoprtion</t>
  </si>
  <si>
    <t>RT60 (s)</t>
  </si>
  <si>
    <r>
      <t>Area (m</t>
    </r>
    <r>
      <rPr>
        <vertAlign val="superscript"/>
        <sz val="11"/>
        <color theme="1"/>
        <rFont val="Calibri"/>
        <family val="2"/>
        <charset val="161"/>
        <scheme val="minor"/>
      </rPr>
      <t>2</t>
    </r>
    <r>
      <rPr>
        <sz val="11"/>
        <color theme="1"/>
        <rFont val="Calibri"/>
        <family val="2"/>
        <charset val="161"/>
        <scheme val="minor"/>
      </rPr>
      <t>)</t>
    </r>
  </si>
  <si>
    <t>ᾱ</t>
  </si>
  <si>
    <t>Sabine</t>
  </si>
  <si>
    <t>Norris-Eyring</t>
  </si>
  <si>
    <t>Sette-Millington</t>
  </si>
  <si>
    <r>
      <t>A</t>
    </r>
    <r>
      <rPr>
        <vertAlign val="subscript"/>
        <sz val="11"/>
        <color theme="1"/>
        <rFont val="Calibri"/>
        <family val="2"/>
        <scheme val="minor"/>
      </rPr>
      <t>ME</t>
    </r>
    <r>
      <rPr>
        <sz val="11"/>
        <color theme="1"/>
        <rFont val="Calibri"/>
        <family val="2"/>
        <charset val="161"/>
        <scheme val="minor"/>
      </rPr>
      <t>= -[S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charset val="161"/>
        <scheme val="minor"/>
      </rPr>
      <t>*ln(1-α</t>
    </r>
    <r>
      <rPr>
        <vertAlign val="subscript"/>
        <sz val="11"/>
        <color theme="1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) +S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*ln(1-α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)+ …] </t>
    </r>
  </si>
  <si>
    <t>Air absoprtion</t>
  </si>
  <si>
    <t>ᾱ= (S1*a1+S2*a2+⋯+Sn*an)/S</t>
  </si>
  <si>
    <t xml:space="preserve"> </t>
  </si>
  <si>
    <t>Total absoprtion (Sabine)</t>
  </si>
  <si>
    <t>Total absoprtion (Norris-Eyring)</t>
  </si>
  <si>
    <t>Material absorption (Sabine)</t>
  </si>
  <si>
    <t>Total Area</t>
  </si>
  <si>
    <t>Material absorption (Norris-Eyring)</t>
  </si>
  <si>
    <t>AIR ABOSRPTION</t>
  </si>
  <si>
    <t>Humidity (30%,50%,70%)</t>
  </si>
  <si>
    <t>Temperature (15,20,25,30)</t>
  </si>
  <si>
    <t>INPUT</t>
  </si>
  <si>
    <t>OUTPUT</t>
  </si>
  <si>
    <r>
      <t>Area (m</t>
    </r>
    <r>
      <rPr>
        <vertAlign val="superscript"/>
        <sz val="11"/>
        <rFont val="Calibri"/>
        <family val="2"/>
        <charset val="161"/>
        <scheme val="minor"/>
      </rPr>
      <t>2</t>
    </r>
    <r>
      <rPr>
        <sz val="11"/>
        <rFont val="Calibri"/>
        <family val="2"/>
        <charset val="161"/>
        <scheme val="minor"/>
      </rPr>
      <t>)</t>
    </r>
  </si>
  <si>
    <t>Total Absorption</t>
  </si>
  <si>
    <t>Freq (Hz)</t>
  </si>
  <si>
    <t>Norris-Eyring:</t>
  </si>
  <si>
    <t>Sabine:</t>
  </si>
  <si>
    <t>Ηumidity</t>
  </si>
  <si>
    <t>Τemper</t>
  </si>
  <si>
    <t>Temperature</t>
  </si>
  <si>
    <t>Humidity</t>
  </si>
  <si>
    <t>125Hz</t>
  </si>
  <si>
    <t>Material Absorption</t>
  </si>
  <si>
    <t>Object Absorption</t>
  </si>
  <si>
    <t>Material absoprtion</t>
  </si>
  <si>
    <t>Object 
Absorption</t>
  </si>
  <si>
    <t>125 Hz</t>
  </si>
  <si>
    <t>Air Absorption</t>
  </si>
  <si>
    <t>Total
Absorption 
Sabine</t>
  </si>
  <si>
    <t>Ane= -S * ln(1-ᾱ)</t>
  </si>
  <si>
    <r>
      <t>A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charset val="161"/>
        <scheme val="minor"/>
      </rPr>
      <t>= S*ᾱ= (S1*a1+S2*a2+…+Sn*an)</t>
    </r>
  </si>
  <si>
    <t>Q</t>
  </si>
  <si>
    <t>Dc (m)</t>
  </si>
  <si>
    <r>
      <t>Total area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</si>
  <si>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Room volume (m3)</t>
  </si>
  <si>
    <t>Critical Distance - Dc (m)</t>
  </si>
  <si>
    <t>Directivity Factor -Q</t>
  </si>
  <si>
    <t>4m=</t>
  </si>
  <si>
    <t>Sabine with air absorption</t>
  </si>
  <si>
    <t>KNAUF plasterboard, R6/18, 400mm from wall</t>
  </si>
  <si>
    <t>KNAUF plasterboard, R6/18, 65 mm from wall</t>
  </si>
  <si>
    <t>KNAUF plasterboard, R6/18, 65 mm from wall + 20mm Thermolan</t>
  </si>
  <si>
    <t>Carpet - normal</t>
  </si>
  <si>
    <t>Carpet,heavy on undercarpet(1.35  kgr/m2  felt or foam rubber)</t>
  </si>
  <si>
    <t>Concrete (unpainted, rough finish)</t>
  </si>
  <si>
    <t>Concrete (sealed or painted)</t>
  </si>
  <si>
    <t>Wood parquet on concrete</t>
  </si>
  <si>
    <t>Curtains (0.48 kgr/m2)  velour, draped to half area</t>
  </si>
  <si>
    <t>Marble or glazed tile</t>
  </si>
  <si>
    <t>Concert Hall</t>
  </si>
  <si>
    <t>Opera House</t>
  </si>
  <si>
    <t>Church</t>
  </si>
  <si>
    <t>Cinema</t>
  </si>
  <si>
    <t>Number of people</t>
  </si>
  <si>
    <t>Use</t>
  </si>
  <si>
    <t>Best RT60</t>
  </si>
  <si>
    <t>Reference Hall</t>
  </si>
  <si>
    <t xml:space="preserve">Use
</t>
  </si>
  <si>
    <t>Source</t>
  </si>
  <si>
    <t>Speaking</t>
  </si>
  <si>
    <t>Orchestra</t>
  </si>
  <si>
    <t>Choir</t>
  </si>
  <si>
    <t>r</t>
  </si>
  <si>
    <r>
      <t>Best Volume
/person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charset val="161"/>
        <scheme val="minor"/>
      </rPr>
      <t>)</t>
    </r>
  </si>
  <si>
    <t>Single person or heavily upholstered seat(± 0.10    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</si>
</sst>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2"/>
      <color theme="1"/>
      <name val="Times New Roman"/>
      <family val="1"/>
    </font>
    <font>
      <b/>
      <vertAlign val="superscript"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0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/>
    <xf numFmtId="0" fontId="0" fillId="11" borderId="1" xfId="0" applyFill="1" applyBorder="1"/>
    <xf numFmtId="0" fontId="0" fillId="0" borderId="10" xfId="0" applyBorder="1"/>
    <xf numFmtId="0" fontId="0" fillId="11" borderId="6" xfId="0" applyFill="1" applyBorder="1"/>
    <xf numFmtId="0" fontId="10" fillId="3" borderId="1" xfId="0" applyFont="1" applyFill="1" applyBorder="1"/>
    <xf numFmtId="0" fontId="8" fillId="6" borderId="4" xfId="0" applyFont="1" applyFill="1" applyBorder="1"/>
    <xf numFmtId="0" fontId="0" fillId="6" borderId="6" xfId="0" applyFill="1" applyBorder="1"/>
    <xf numFmtId="0" fontId="0" fillId="2" borderId="1" xfId="0" applyFill="1" applyBorder="1" applyAlignment="1">
      <alignment horizontal="center" wrapText="1"/>
    </xf>
    <xf numFmtId="0" fontId="12" fillId="0" borderId="0" xfId="0" applyFont="1"/>
    <xf numFmtId="0" fontId="0" fillId="12" borderId="1" xfId="0" applyFill="1" applyBorder="1"/>
    <xf numFmtId="0" fontId="14" fillId="13" borderId="1" xfId="0" applyFont="1" applyFill="1" applyBorder="1" applyAlignment="1">
      <alignment horizontal="center"/>
    </xf>
    <xf numFmtId="0" fontId="15" fillId="13" borderId="1" xfId="0" applyFont="1" applyFill="1" applyBorder="1"/>
    <xf numFmtId="0" fontId="6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wrapText="1"/>
    </xf>
    <xf numFmtId="0" fontId="0" fillId="13" borderId="1" xfId="0" applyFill="1" applyBorder="1"/>
    <xf numFmtId="0" fontId="13" fillId="13" borderId="1" xfId="0" applyFont="1" applyFill="1" applyBorder="1" applyAlignment="1">
      <alignment wrapText="1"/>
    </xf>
    <xf numFmtId="0" fontId="0" fillId="14" borderId="1" xfId="0" applyFill="1" applyBorder="1"/>
    <xf numFmtId="0" fontId="0" fillId="10" borderId="1" xfId="0" applyFill="1" applyBorder="1"/>
    <xf numFmtId="0" fontId="0" fillId="3" borderId="4" xfId="0" applyFill="1" applyBorder="1"/>
    <xf numFmtId="0" fontId="0" fillId="5" borderId="1" xfId="0" applyFill="1" applyBorder="1" applyAlignment="1">
      <alignment horizontal="right"/>
    </xf>
    <xf numFmtId="0" fontId="0" fillId="15" borderId="6" xfId="0" applyFill="1" applyBorder="1" applyAlignment="1">
      <alignment horizontal="right"/>
    </xf>
    <xf numFmtId="0" fontId="0" fillId="15" borderId="1" xfId="0" applyFill="1" applyBorder="1" applyAlignment="1">
      <alignment horizontal="right"/>
    </xf>
    <xf numFmtId="0" fontId="10" fillId="14" borderId="1" xfId="0" applyFont="1" applyFill="1" applyBorder="1"/>
    <xf numFmtId="0" fontId="0" fillId="16" borderId="1" xfId="0" applyFill="1" applyBorder="1"/>
    <xf numFmtId="0" fontId="0" fillId="17" borderId="1" xfId="0" applyFill="1" applyBorder="1"/>
    <xf numFmtId="0" fontId="0" fillId="4" borderId="1" xfId="0" applyFill="1" applyBorder="1" applyAlignment="1">
      <alignment horizontal="center" wrapText="1"/>
    </xf>
    <xf numFmtId="0" fontId="6" fillId="3" borderId="1" xfId="0" applyFont="1" applyFill="1" applyBorder="1"/>
    <xf numFmtId="0" fontId="3" fillId="3" borderId="1" xfId="0" applyFont="1" applyFill="1" applyBorder="1"/>
    <xf numFmtId="2" fontId="12" fillId="4" borderId="1" xfId="0" applyNumberFormat="1" applyFont="1" applyFill="1" applyBorder="1"/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right"/>
    </xf>
    <xf numFmtId="0" fontId="0" fillId="18" borderId="1" xfId="0" applyFill="1" applyBorder="1"/>
    <xf numFmtId="0" fontId="2" fillId="3" borderId="1" xfId="0" applyFont="1" applyFill="1" applyBorder="1"/>
    <xf numFmtId="0" fontId="10" fillId="11" borderId="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0" fontId="6" fillId="0" borderId="0" xfId="0" applyFont="1"/>
    <xf numFmtId="0" fontId="0" fillId="0" borderId="0" xfId="0" applyAlignment="1">
      <alignment wrapText="1"/>
    </xf>
    <xf numFmtId="0" fontId="10" fillId="4" borderId="1" xfId="0" applyFont="1" applyFill="1" applyBorder="1" applyAlignment="1">
      <alignment shrinkToFit="1"/>
    </xf>
    <xf numFmtId="0" fontId="0" fillId="7" borderId="1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6" fillId="2" borderId="4" xfId="0" applyFont="1" applyFill="1" applyBorder="1"/>
    <xf numFmtId="0" fontId="6" fillId="2" borderId="1" xfId="0" applyFont="1" applyFill="1" applyBorder="1"/>
    <xf numFmtId="0" fontId="0" fillId="2" borderId="1" xfId="0" applyFill="1" applyBorder="1"/>
    <xf numFmtId="2" fontId="0" fillId="19" borderId="1" xfId="0" applyNumberFormat="1" applyFill="1" applyBorder="1"/>
    <xf numFmtId="0" fontId="0" fillId="19" borderId="1" xfId="0" applyFill="1" applyBorder="1"/>
    <xf numFmtId="0" fontId="12" fillId="10" borderId="1" xfId="0" applyFont="1" applyFill="1" applyBorder="1"/>
    <xf numFmtId="2" fontId="12" fillId="10" borderId="1" xfId="0" applyNumberFormat="1" applyFont="1" applyFill="1" applyBorder="1"/>
    <xf numFmtId="0" fontId="0" fillId="0" borderId="0" xfId="0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top"/>
    </xf>
    <xf numFmtId="0" fontId="17" fillId="8" borderId="10" xfId="0" applyFont="1" applyFill="1" applyBorder="1" applyAlignment="1">
      <alignment horizontal="left" vertical="top"/>
    </xf>
    <xf numFmtId="0" fontId="0" fillId="8" borderId="4" xfId="0" applyFill="1" applyBorder="1" applyAlignment="1">
      <alignment horizontal="left"/>
    </xf>
    <xf numFmtId="0" fontId="17" fillId="8" borderId="3" xfId="0" applyFont="1" applyFill="1" applyBorder="1" applyAlignment="1">
      <alignment horizontal="left" vertical="top"/>
    </xf>
    <xf numFmtId="0" fontId="17" fillId="8" borderId="9" xfId="0" applyFont="1" applyFill="1" applyBorder="1" applyAlignment="1">
      <alignment horizontal="left" vertical="top"/>
    </xf>
    <xf numFmtId="0" fontId="17" fillId="8" borderId="13" xfId="0" applyFont="1" applyFill="1" applyBorder="1" applyAlignment="1">
      <alignment horizontal="left" vertical="top"/>
    </xf>
    <xf numFmtId="0" fontId="17" fillId="8" borderId="11" xfId="0" applyFont="1" applyFill="1" applyBorder="1" applyAlignment="1">
      <alignment horizontal="left" vertical="top"/>
    </xf>
    <xf numFmtId="0" fontId="0" fillId="22" borderId="1" xfId="0" applyFill="1" applyBorder="1"/>
    <xf numFmtId="0" fontId="0" fillId="0" borderId="11" xfId="0" applyBorder="1"/>
    <xf numFmtId="0" fontId="0" fillId="23" borderId="1" xfId="0" applyFill="1" applyBorder="1"/>
    <xf numFmtId="0" fontId="10" fillId="21" borderId="1" xfId="0" applyFont="1" applyFill="1" applyBorder="1"/>
    <xf numFmtId="0" fontId="0" fillId="11" borderId="12" xfId="0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0" fillId="10" borderId="8" xfId="0" applyFill="1" applyBorder="1"/>
    <xf numFmtId="0" fontId="0" fillId="10" borderId="12" xfId="0" applyFill="1" applyBorder="1"/>
    <xf numFmtId="0" fontId="17" fillId="8" borderId="2" xfId="0" applyFont="1" applyFill="1" applyBorder="1"/>
    <xf numFmtId="0" fontId="17" fillId="8" borderId="3" xfId="0" applyFont="1" applyFill="1" applyBorder="1"/>
    <xf numFmtId="0" fontId="0" fillId="8" borderId="9" xfId="0" applyFill="1" applyBorder="1"/>
    <xf numFmtId="0" fontId="0" fillId="5" borderId="14" xfId="0" applyFill="1" applyBorder="1" applyAlignment="1">
      <alignment vertical="center"/>
    </xf>
    <xf numFmtId="2" fontId="0" fillId="9" borderId="14" xfId="0" applyNumberFormat="1" applyFill="1" applyBorder="1"/>
    <xf numFmtId="0" fontId="0" fillId="8" borderId="11" xfId="0" applyFill="1" applyBorder="1"/>
    <xf numFmtId="0" fontId="0" fillId="5" borderId="12" xfId="0" applyFill="1" applyBorder="1" applyAlignment="1">
      <alignment vertical="center"/>
    </xf>
    <xf numFmtId="2" fontId="0" fillId="9" borderId="12" xfId="0" applyNumberFormat="1" applyFill="1" applyBorder="1"/>
    <xf numFmtId="0" fontId="0" fillId="5" borderId="1" xfId="0" applyFill="1" applyBorder="1" applyAlignment="1">
      <alignment vertical="center"/>
    </xf>
    <xf numFmtId="2" fontId="0" fillId="9" borderId="1" xfId="0" applyNumberFormat="1" applyFill="1" applyBorder="1"/>
    <xf numFmtId="0" fontId="15" fillId="20" borderId="1" xfId="0" applyFont="1" applyFill="1" applyBorder="1"/>
    <xf numFmtId="2" fontId="0" fillId="5" borderId="1" xfId="0" applyNumberFormat="1" applyFill="1" applyBorder="1"/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18" fillId="6" borderId="12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4" xfId="0" applyFill="1" applyBorder="1" applyAlignment="1">
      <alignment horizontal="center"/>
    </xf>
    <xf numFmtId="0" fontId="0" fillId="6" borderId="1" xfId="0" applyFill="1" applyBorder="1"/>
    <xf numFmtId="0" fontId="6" fillId="0" borderId="0" xfId="0" applyFont="1" applyAlignment="1">
      <alignment horizontal="center"/>
    </xf>
    <xf numFmtId="0" fontId="0" fillId="15" borderId="1" xfId="0" applyFill="1" applyBorder="1" applyAlignment="1">
      <alignment vertical="top" wrapText="1"/>
    </xf>
    <xf numFmtId="0" fontId="0" fillId="15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/>
    </xf>
    <xf numFmtId="1" fontId="0" fillId="3" borderId="1" xfId="0" applyNumberFormat="1" applyFill="1" applyBorder="1"/>
    <xf numFmtId="0" fontId="0" fillId="15" borderId="1" xfId="0" applyFill="1" applyBorder="1" applyAlignment="1">
      <alignment vertical="top"/>
    </xf>
    <xf numFmtId="2" fontId="0" fillId="7" borderId="1" xfId="0" applyNumberFormat="1" applyFill="1" applyBorder="1"/>
    <xf numFmtId="2" fontId="0" fillId="4" borderId="1" xfId="0" applyNumberFormat="1" applyFill="1" applyBorder="1"/>
    <xf numFmtId="2" fontId="0" fillId="11" borderId="1" xfId="0" applyNumberFormat="1" applyFill="1" applyBorder="1"/>
    <xf numFmtId="0" fontId="10" fillId="18" borderId="1" xfId="0" applyFont="1" applyFill="1" applyBorder="1"/>
    <xf numFmtId="2" fontId="0" fillId="17" borderId="6" xfId="0" applyNumberFormat="1" applyFill="1" applyBorder="1"/>
    <xf numFmtId="2" fontId="0" fillId="17" borderId="1" xfId="0" applyNumberFormat="1" applyFill="1" applyBorder="1"/>
    <xf numFmtId="2" fontId="0" fillId="16" borderId="1" xfId="0" applyNumberFormat="1" applyFill="1" applyBorder="1"/>
    <xf numFmtId="2" fontId="0" fillId="5" borderId="8" xfId="0" applyNumberFormat="1" applyFill="1" applyBorder="1"/>
    <xf numFmtId="2" fontId="0" fillId="0" borderId="7" xfId="0" applyNumberFormat="1" applyBorder="1"/>
    <xf numFmtId="0" fontId="10" fillId="5" borderId="1" xfId="0" applyFont="1" applyFill="1" applyBorder="1"/>
    <xf numFmtId="2" fontId="0" fillId="5" borderId="4" xfId="0" applyNumberFormat="1" applyFill="1" applyBorder="1"/>
    <xf numFmtId="2" fontId="0" fillId="0" borderId="2" xfId="0" applyNumberFormat="1" applyBorder="1"/>
    <xf numFmtId="0" fontId="15" fillId="8" borderId="1" xfId="0" applyFont="1" applyFill="1" applyBorder="1"/>
    <xf numFmtId="0" fontId="14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/>
    <xf numFmtId="0" fontId="0" fillId="8" borderId="1" xfId="0" applyFill="1" applyBorder="1"/>
    <xf numFmtId="0" fontId="6" fillId="8" borderId="8" xfId="0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2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0268A0"/>
      <color rgb="FF00FFFF"/>
      <color rgb="FFCCFFFF"/>
      <color rgb="FFFFF09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5736528062095"/>
          <c:y val="5.5555555555555552E-2"/>
          <c:w val="0.86373082466843198"/>
          <c:h val="0.68455001941914295"/>
        </c:manualLayout>
      </c:layout>
      <c:lineChart>
        <c:grouping val="standard"/>
        <c:varyColors val="0"/>
        <c:ser>
          <c:idx val="0"/>
          <c:order val="0"/>
          <c:tx>
            <c:v>Sabine</c:v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'RT60'!$S$5:$X$5</c:f>
              <c:strCache>
                <c:ptCount val="6"/>
                <c:pt idx="0">
                  <c:v>125 Hz</c:v>
                </c:pt>
                <c:pt idx="1">
                  <c:v>250 Hz</c:v>
                </c:pt>
                <c:pt idx="2">
                  <c:v>500 Hz</c:v>
                </c:pt>
                <c:pt idx="3">
                  <c:v>1000 Hz</c:v>
                </c:pt>
                <c:pt idx="4">
                  <c:v>2000 Hz</c:v>
                </c:pt>
                <c:pt idx="5">
                  <c:v>4000 Hz</c:v>
                </c:pt>
              </c:strCache>
            </c:strRef>
          </c:cat>
          <c:val>
            <c:numRef>
              <c:f>'RT60'!$S$6:$X$6</c:f>
              <c:numCache>
                <c:formatCode>0.00</c:formatCode>
                <c:ptCount val="6"/>
                <c:pt idx="0">
                  <c:v>3.7544939271255062</c:v>
                </c:pt>
                <c:pt idx="1">
                  <c:v>1.9088027444253861</c:v>
                </c:pt>
                <c:pt idx="2">
                  <c:v>1.3824000000000001</c:v>
                </c:pt>
                <c:pt idx="3">
                  <c:v>1.1776</c:v>
                </c:pt>
                <c:pt idx="4">
                  <c:v>1.2082866449511402</c:v>
                </c:pt>
                <c:pt idx="5">
                  <c:v>1.3123018867924527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F-445B-AC78-196F59AC9412}"/>
            </c:ext>
          </c:extLst>
        </c:ser>
        <c:ser>
          <c:idx val="1"/>
          <c:order val="1"/>
          <c:tx>
            <c:v>Norris Eyring</c:v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'RT60'!$S$5:$X$5</c:f>
              <c:strCache>
                <c:ptCount val="6"/>
                <c:pt idx="0">
                  <c:v>125 Hz</c:v>
                </c:pt>
                <c:pt idx="1">
                  <c:v>250 Hz</c:v>
                </c:pt>
                <c:pt idx="2">
                  <c:v>500 Hz</c:v>
                </c:pt>
                <c:pt idx="3">
                  <c:v>1000 Hz</c:v>
                </c:pt>
                <c:pt idx="4">
                  <c:v>2000 Hz</c:v>
                </c:pt>
                <c:pt idx="5">
                  <c:v>4000 Hz</c:v>
                </c:pt>
              </c:strCache>
            </c:strRef>
          </c:cat>
          <c:val>
            <c:numRef>
              <c:f>'RT60'!$S$7:$X$7</c:f>
              <c:numCache>
                <c:formatCode>0.00</c:formatCode>
                <c:ptCount val="6"/>
                <c:pt idx="0">
                  <c:v>3.6829650268562322</c:v>
                </c:pt>
                <c:pt idx="1">
                  <c:v>1.8071584455243697</c:v>
                </c:pt>
                <c:pt idx="2">
                  <c:v>1.2447410276179336</c:v>
                </c:pt>
                <c:pt idx="3">
                  <c:v>1.0232094244271146</c:v>
                </c:pt>
                <c:pt idx="4">
                  <c:v>1.0475711610294305</c:v>
                </c:pt>
                <c:pt idx="5">
                  <c:v>1.14554296352922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F-445B-AC78-196F59AC9412}"/>
            </c:ext>
          </c:extLst>
        </c:ser>
        <c:ser>
          <c:idx val="2"/>
          <c:order val="2"/>
          <c:tx>
            <c:v>Sette-Millington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'RT60'!$S$8:$X$8</c:f>
              <c:numCache>
                <c:formatCode>0.00</c:formatCode>
                <c:ptCount val="6"/>
                <c:pt idx="0">
                  <c:v>3.2982363656812641</c:v>
                </c:pt>
                <c:pt idx="1">
                  <c:v>1.4915240666032052</c:v>
                </c:pt>
                <c:pt idx="2">
                  <c:v>0.84833327458221852</c:v>
                </c:pt>
                <c:pt idx="3">
                  <c:v>0.57613016489511559</c:v>
                </c:pt>
                <c:pt idx="4">
                  <c:v>0.5913193604722643</c:v>
                </c:pt>
                <c:pt idx="5">
                  <c:v>0.65299843509388722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FF-445B-AC78-196F59AC9412}"/>
            </c:ext>
          </c:extLst>
        </c:ser>
        <c:ser>
          <c:idx val="3"/>
          <c:order val="3"/>
          <c:tx>
            <c:v>Sabine+air absorption</c:v>
          </c:tx>
          <c:spPr>
            <a:ln w="317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'RT60'!$S$9:$X$9</c:f>
              <c:numCache>
                <c:formatCode>0.00</c:formatCode>
                <c:ptCount val="6"/>
                <c:pt idx="0">
                  <c:v>3.7544939271255062</c:v>
                </c:pt>
                <c:pt idx="1">
                  <c:v>1.9088027444253861</c:v>
                </c:pt>
                <c:pt idx="2">
                  <c:v>1.3824000000000001</c:v>
                </c:pt>
                <c:pt idx="3">
                  <c:v>1.1776</c:v>
                </c:pt>
                <c:pt idx="4">
                  <c:v>1.1278733185765368</c:v>
                </c:pt>
                <c:pt idx="5">
                  <c:v>1.1013427919939194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FF-445B-AC78-196F59AC9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51680"/>
        <c:axId val="190506688"/>
      </c:lineChart>
      <c:lineChart>
        <c:grouping val="standard"/>
        <c:varyColors val="0"/>
        <c:ser>
          <c:idx val="4"/>
          <c:order val="4"/>
          <c:tx>
            <c:v>Best RT60</c:v>
          </c:tx>
          <c:spPr>
            <a:ln w="317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marker>
          <c:dLbls>
            <c:dLbl>
              <c:idx val="0"/>
              <c:numFmt formatCode="#,##0.00" sourceLinked="0"/>
              <c:spPr>
                <a:solidFill>
                  <a:srgbClr val="0268A0">
                    <a:alpha val="74902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l-GR"/>
                </a:p>
              </c:txPr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1C77-4A77-9C6E-1A9EC6D2A077}"/>
                </c:ext>
              </c:extLst>
            </c:dLbl>
            <c:spPr>
              <a:solidFill>
                <a:srgbClr val="0268A0">
                  <a:alpha val="74902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t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'RT60'!$S$11</c:f>
              <c:numCache>
                <c:formatCode>0.00</c:formatCode>
                <c:ptCount val="1"/>
                <c:pt idx="0">
                  <c:v>0.76484684344212228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FF-445B-AC78-196F59AC9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152192"/>
        <c:axId val="190508992"/>
      </c:lineChart>
      <c:catAx>
        <c:axId val="230151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4932908821338097"/>
              <c:y val="0.82241162407049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506688"/>
        <c:crosses val="autoZero"/>
        <c:auto val="1"/>
        <c:lblAlgn val="ctr"/>
        <c:lblOffset val="100"/>
        <c:noMultiLvlLbl val="0"/>
      </c:catAx>
      <c:valAx>
        <c:axId val="190506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1">
                  <a:alpha val="67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RT 60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crossAx val="230151680"/>
        <c:crosses val="autoZero"/>
        <c:crossBetween val="between"/>
      </c:valAx>
      <c:valAx>
        <c:axId val="19050899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30152192"/>
        <c:crosses val="max"/>
        <c:crossBetween val="between"/>
      </c:valAx>
      <c:catAx>
        <c:axId val="230152192"/>
        <c:scaling>
          <c:orientation val="minMax"/>
        </c:scaling>
        <c:delete val="1"/>
        <c:axPos val="b"/>
        <c:majorTickMark val="out"/>
        <c:minorTickMark val="none"/>
        <c:tickLblPos val="nextTo"/>
        <c:crossAx val="190508992"/>
        <c:crosses val="autoZero"/>
        <c:auto val="1"/>
        <c:lblAlgn val="ctr"/>
        <c:lblOffset val="100"/>
        <c:noMultiLvlLbl val="0"/>
      </c:catAx>
      <c:spPr>
        <a:noFill/>
        <a:ln cap="sq">
          <a:noFill/>
          <a:prstDash val="dash"/>
          <a:bevel/>
        </a:ln>
        <a:effectLst>
          <a:glow rad="127000">
            <a:schemeClr val="accent1">
              <a:alpha val="94000"/>
            </a:schemeClr>
          </a:glow>
        </a:effectLst>
      </c:spPr>
    </c:plotArea>
    <c:legend>
      <c:legendPos val="r"/>
      <c:layout>
        <c:manualLayout>
          <c:xMode val="edge"/>
          <c:yMode val="edge"/>
          <c:x val="6.605342750916129E-5"/>
          <c:y val="0.81020630987830589"/>
          <c:w val="0.30252530564360897"/>
          <c:h val="0.1894517525305766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49</xdr:row>
      <xdr:rowOff>14287</xdr:rowOff>
    </xdr:from>
    <xdr:ext cx="21794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3FB64E-D750-4147-8FE4-440440CF1C1D}"/>
                </a:ext>
              </a:extLst>
            </xdr:cNvPr>
            <xdr:cNvSpPr txBox="1"/>
          </xdr:nvSpPr>
          <xdr:spPr>
            <a:xfrm>
              <a:off x="3476625" y="7443787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83FB64E-D750-4147-8FE4-440440CF1C1D}"/>
                </a:ext>
              </a:extLst>
            </xdr:cNvPr>
            <xdr:cNvSpPr txBox="1"/>
          </xdr:nvSpPr>
          <xdr:spPr>
            <a:xfrm>
              <a:off x="3476625" y="7443787"/>
              <a:ext cx="21794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𝑚</a:t>
              </a:r>
              <a:r>
                <a:rPr lang="el-GR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l-GR" sz="1100"/>
            </a:p>
          </xdr:txBody>
        </xdr:sp>
      </mc:Fallback>
    </mc:AlternateContent>
    <xdr:clientData/>
  </xdr:oneCellAnchor>
  <xdr:oneCellAnchor>
    <xdr:from>
      <xdr:col>11</xdr:col>
      <xdr:colOff>5603</xdr:colOff>
      <xdr:row>46</xdr:row>
      <xdr:rowOff>5883</xdr:rowOff>
    </xdr:from>
    <xdr:ext cx="217945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7D228B6-BD6B-4887-B537-36323882CF81}"/>
                </a:ext>
              </a:extLst>
            </xdr:cNvPr>
            <xdr:cNvSpPr txBox="1"/>
          </xdr:nvSpPr>
          <xdr:spPr>
            <a:xfrm>
              <a:off x="7150474" y="8074118"/>
              <a:ext cx="2179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xmlns:a14="http://schemas.microsoft.com/office/drawing/2010/main" xmlns="" id="{77D228B6-BD6B-4887-B537-36323882CF81}"/>
                </a:ext>
              </a:extLst>
            </xdr:cNvPr>
            <xdr:cNvSpPr txBox="1"/>
          </xdr:nvSpPr>
          <xdr:spPr>
            <a:xfrm>
              <a:off x="7150474" y="8074118"/>
              <a:ext cx="21794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</a:t>
              </a:r>
              <a:r>
                <a:rPr lang="el-GR" sz="1100" b="0" i="0">
                  <a:latin typeface="Cambria Math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l-GR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0</xdr:row>
      <xdr:rowOff>14287</xdr:rowOff>
    </xdr:from>
    <xdr:ext cx="65" cy="18787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D73C58-6766-42E4-89C3-08096C4AA646}"/>
            </a:ext>
          </a:extLst>
        </xdr:cNvPr>
        <xdr:cNvSpPr txBox="1"/>
      </xdr:nvSpPr>
      <xdr:spPr>
        <a:xfrm>
          <a:off x="16589188" y="14287"/>
          <a:ext cx="65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l-GR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600365</xdr:colOff>
      <xdr:row>15</xdr:row>
      <xdr:rowOff>392543</xdr:rowOff>
    </xdr:from>
    <xdr:to>
      <xdr:col>25</xdr:col>
      <xdr:colOff>600365</xdr:colOff>
      <xdr:row>29</xdr:row>
      <xdr:rowOff>427181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A326E2-0FFD-4FF7-B6D9-536FCE3FF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7</xdr:row>
      <xdr:rowOff>156210</xdr:rowOff>
    </xdr:from>
    <xdr:ext cx="1670139" cy="1912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F5C17-0A0A-4451-8AA7-6EC5C759853F}"/>
                </a:ext>
              </a:extLst>
            </xdr:cNvPr>
            <xdr:cNvSpPr txBox="1"/>
          </xdr:nvSpPr>
          <xdr:spPr>
            <a:xfrm>
              <a:off x="3573780" y="1642110"/>
              <a:ext cx="1670139" cy="191206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/>
                <a:t> RT60=</a:t>
              </a:r>
              <a:r>
                <a:rPr lang="en-US" sz="1100" baseline="0"/>
                <a:t> r (</a:t>
              </a:r>
              <a14:m>
                <m:oMath xmlns:m="http://schemas.openxmlformats.org/officeDocument/2006/math">
                  <m:r>
                    <a:rPr lang="en-US" sz="1100" i="0">
                      <a:latin typeface="Cambria Math" panose="02040503050406030204" pitchFamily="18" charset="0"/>
                    </a:rPr>
                    <m:t>0.01</m:t>
                  </m:r>
                  <m:r>
                    <a:rPr lang="de-DE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ctrlPr>
                        <a:rPr lang="en-US" sz="1100" i="1"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radPr>
                    <m:deg>
                      <m:r>
                        <a:rPr lang="en-US" sz="1100" i="0">
                          <a:latin typeface="Cambria Math" panose="02040503050406030204" pitchFamily="18" charset="0"/>
                        </a:rPr>
                        <m:t>3</m:t>
                      </m:r>
                    </m:deg>
                    <m:e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</m:rad>
                  <m:r>
                    <a:rPr lang="de-DE" sz="1100" b="0" i="1">
                      <a:latin typeface="Cambria Math" panose="02040503050406030204" pitchFamily="18" charset="0"/>
                    </a:rPr>
                    <m:t>+0.107)</m:t>
                  </m:r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DF5C17-0A0A-4451-8AA7-6EC5C759853F}"/>
                </a:ext>
              </a:extLst>
            </xdr:cNvPr>
            <xdr:cNvSpPr txBox="1"/>
          </xdr:nvSpPr>
          <xdr:spPr>
            <a:xfrm>
              <a:off x="3573780" y="1642110"/>
              <a:ext cx="1670139" cy="191206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/>
                <a:t> RT60=</a:t>
              </a:r>
              <a:r>
                <a:rPr lang="en-US" sz="1100" baseline="0"/>
                <a:t> r (</a:t>
              </a:r>
              <a:r>
                <a:rPr lang="en-US" sz="1100" i="0">
                  <a:latin typeface="Cambria Math" panose="02040503050406030204" pitchFamily="18" charset="0"/>
                </a:rPr>
                <a:t>0.01</a:t>
              </a:r>
              <a:r>
                <a:rPr lang="de-DE" sz="1100" b="0" i="0">
                  <a:latin typeface="Cambria Math" panose="02040503050406030204" pitchFamily="18" charset="0"/>
                </a:rPr>
                <a:t>2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∛</a:t>
              </a:r>
              <a:r>
                <a:rPr lang="de-DE" sz="1100" b="0" i="0">
                  <a:latin typeface="Cambria Math" panose="02040503050406030204" pitchFamily="18" charset="0"/>
                </a:rPr>
                <a:t>𝑉+0.107)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8759</xdr:colOff>
      <xdr:row>3</xdr:row>
      <xdr:rowOff>0</xdr:rowOff>
    </xdr:from>
    <xdr:ext cx="136634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B04D26-2791-4D5E-A5EE-F6B96CBD6B9E}"/>
                </a:ext>
              </a:extLst>
            </xdr:cNvPr>
            <xdr:cNvSpPr txBox="1"/>
          </xdr:nvSpPr>
          <xdr:spPr>
            <a:xfrm>
              <a:off x="6849242" y="586828"/>
              <a:ext cx="1366344" cy="316882"/>
            </a:xfrm>
            <a:prstGeom prst="rect">
              <a:avLst/>
            </a:prstGeom>
            <a:solidFill>
              <a:srgbClr val="92D05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=0.161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m:rPr>
                            <m:nor/>
                          </m:rPr>
                          <a:rPr lang="el-GR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S</m:t>
                        </m:r>
                        <m:r>
                          <m:rPr>
                            <m:nor/>
                          </m:rPr>
                          <a:rPr lang="el-GR" sz="11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∗ᾱ</m:t>
                        </m:r>
                      </m:den>
                    </m:f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5B04D26-2791-4D5E-A5EE-F6B96CBD6B9E}"/>
                </a:ext>
              </a:extLst>
            </xdr:cNvPr>
            <xdr:cNvSpPr txBox="1"/>
          </xdr:nvSpPr>
          <xdr:spPr>
            <a:xfrm>
              <a:off x="6849242" y="586828"/>
              <a:ext cx="1366344" cy="316882"/>
            </a:xfrm>
            <a:prstGeom prst="rect">
              <a:avLst/>
            </a:prstGeom>
            <a:solidFill>
              <a:srgbClr val="92D05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𝑅𝑡</a:t>
              </a:r>
              <a:r>
                <a:rPr lang="el-GR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60=0.161 𝑉/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S*ᾱ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endParaRPr lang="el-GR" sz="1100"/>
            </a:p>
          </xdr:txBody>
        </xdr:sp>
      </mc:Fallback>
    </mc:AlternateContent>
    <xdr:clientData/>
  </xdr:oneCellAnchor>
  <xdr:oneCellAnchor>
    <xdr:from>
      <xdr:col>10</xdr:col>
      <xdr:colOff>10548</xdr:colOff>
      <xdr:row>5</xdr:row>
      <xdr:rowOff>155797</xdr:rowOff>
    </xdr:from>
    <xdr:ext cx="1724959" cy="346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0607CA-2B35-4EA3-86C6-12776797922F}"/>
                </a:ext>
              </a:extLst>
            </xdr:cNvPr>
            <xdr:cNvSpPr txBox="1"/>
          </xdr:nvSpPr>
          <xdr:spPr>
            <a:xfrm>
              <a:off x="9224617" y="1478349"/>
              <a:ext cx="1724959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l-G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𝑅𝑡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=0,161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⁡(1−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B0607CA-2B35-4EA3-86C6-12776797922F}"/>
                </a:ext>
              </a:extLst>
            </xdr:cNvPr>
            <xdr:cNvSpPr txBox="1"/>
          </xdr:nvSpPr>
          <xdr:spPr>
            <a:xfrm>
              <a:off x="9224617" y="1478349"/>
              <a:ext cx="1724959" cy="346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𝑅𝑡</a:t>
              </a:r>
              <a:r>
                <a:rPr lang="el-GR" sz="1100" b="0" i="0">
                  <a:latin typeface="Cambria Math" panose="02040503050406030204" pitchFamily="18" charset="0"/>
                </a:rPr>
                <a:t>〗_</a:t>
              </a:r>
              <a:r>
                <a:rPr lang="en-US" sz="1100" b="0" i="0">
                  <a:latin typeface="Cambria Math" panose="02040503050406030204" pitchFamily="18" charset="0"/>
                </a:rPr>
                <a:t>60=0,161 𝑉/(−𝑆∗ln⁡(1−𝑎 ̅))</a:t>
              </a:r>
              <a:endParaRPr lang="el-GR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434340</xdr:colOff>
      <xdr:row>0</xdr:row>
      <xdr:rowOff>0</xdr:rowOff>
    </xdr:from>
    <xdr:ext cx="1630680" cy="3197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3D6C20-DC6D-4ECF-A739-93BCA25F2966}"/>
                </a:ext>
              </a:extLst>
            </xdr:cNvPr>
            <xdr:cNvSpPr txBox="1"/>
          </xdr:nvSpPr>
          <xdr:spPr>
            <a:xfrm>
              <a:off x="9646920" y="213360"/>
              <a:ext cx="1630680" cy="319703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𝑅𝑇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60=0.161∗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acc>
                          <m:accPr>
                            <m:chr m:val="̅"/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acc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+4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𝑚𝑣</m:t>
                        </m:r>
                      </m:den>
                    </m:f>
                  </m:oMath>
                </m:oMathPara>
              </a14:m>
              <a:endParaRPr lang="el-GR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13D6C20-DC6D-4ECF-A739-93BCA25F2966}"/>
                </a:ext>
              </a:extLst>
            </xdr:cNvPr>
            <xdr:cNvSpPr txBox="1"/>
          </xdr:nvSpPr>
          <xdr:spPr>
            <a:xfrm>
              <a:off x="9646920" y="213360"/>
              <a:ext cx="1630680" cy="319703"/>
            </a:xfrm>
            <a:prstGeom prst="rect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𝑅𝑇60=0.161∗𝑉/(𝑆𝑎 ̅+4𝑚𝑣)</a:t>
              </a:r>
              <a:endParaRPr lang="el-GR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396182</xdr:colOff>
      <xdr:row>0</xdr:row>
      <xdr:rowOff>295</xdr:rowOff>
    </xdr:from>
    <xdr:ext cx="1441450" cy="412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1AA5A8-671C-4B07-9617-73B6E5FAB6E4}"/>
                </a:ext>
              </a:extLst>
            </xdr:cNvPr>
            <xdr:cNvSpPr txBox="1"/>
          </xdr:nvSpPr>
          <xdr:spPr>
            <a:xfrm>
              <a:off x="7094694" y="700272"/>
              <a:ext cx="1441450" cy="41275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𝑅𝑇</m:t>
                    </m:r>
                    <m:r>
                      <a:rPr lang="de-DE" sz="1100" b="0" i="1" baseline="-25000">
                        <a:latin typeface="Cambria Math" panose="02040503050406030204" pitchFamily="18" charset="0"/>
                      </a:rPr>
                      <m:t>60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0.161∗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num>
                      <m:den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de-DE" sz="1100" b="0" i="1" baseline="-25000">
                            <a:latin typeface="Cambria Math" panose="02040503050406030204" pitchFamily="18" charset="0"/>
                          </a:rPr>
                          <m:t>𝑀𝐸</m:t>
                        </m:r>
                      </m:den>
                    </m:f>
                  </m:oMath>
                </m:oMathPara>
              </a14:m>
              <a:endParaRPr lang="x-none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1AA5A8-671C-4B07-9617-73B6E5FAB6E4}"/>
                </a:ext>
              </a:extLst>
            </xdr:cNvPr>
            <xdr:cNvSpPr txBox="1"/>
          </xdr:nvSpPr>
          <xdr:spPr>
            <a:xfrm>
              <a:off x="7094694" y="700272"/>
              <a:ext cx="1441450" cy="41275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𝑅𝑇</a:t>
              </a:r>
              <a:r>
                <a:rPr lang="de-DE" sz="1100" b="0" i="0" baseline="-25000">
                  <a:latin typeface="Cambria Math" panose="02040503050406030204" pitchFamily="18" charset="0"/>
                </a:rPr>
                <a:t>60</a:t>
              </a:r>
              <a:r>
                <a:rPr lang="de-DE" sz="1100" b="0" i="0">
                  <a:latin typeface="Cambria Math" panose="02040503050406030204" pitchFamily="18" charset="0"/>
                </a:rPr>
                <a:t>=  (0.161∗𝑉)/𝐴</a:t>
              </a:r>
              <a:r>
                <a:rPr lang="de-DE" sz="1100" b="0" i="0" baseline="-25000">
                  <a:latin typeface="Cambria Math" panose="02040503050406030204" pitchFamily="18" charset="0"/>
                </a:rPr>
                <a:t>𝑀𝐸</a:t>
              </a:r>
              <a:endParaRPr lang="x-none" sz="1100"/>
            </a:p>
          </xdr:txBody>
        </xdr:sp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160020</xdr:rowOff>
    </xdr:from>
    <xdr:ext cx="1234440" cy="4038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4C9248-F83A-4E6D-969B-13F41250BA0E}"/>
                </a:ext>
              </a:extLst>
            </xdr:cNvPr>
            <xdr:cNvSpPr txBox="1"/>
          </xdr:nvSpPr>
          <xdr:spPr>
            <a:xfrm>
              <a:off x="1821180" y="1828800"/>
              <a:ext cx="1234440" cy="40386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+mn-lt"/>
                </a:rPr>
                <a:t>  Dc</a:t>
              </a:r>
              <a14:m>
                <m:oMath xmlns:m="http://schemas.openxmlformats.org/officeDocument/2006/math">
                  <m:r>
                    <a:rPr lang="en-US" sz="1200" b="0" i="1">
                      <a:ln>
                        <a:noFill/>
                      </a:ln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=0,1</m:t>
                  </m:r>
                  <m:r>
                    <a:rPr lang="de-DE" sz="1200" b="0" i="1">
                      <a:ln>
                        <a:noFill/>
                      </a:ln>
                      <a:solidFill>
                        <a:schemeClr val="tx1"/>
                      </a:solidFill>
                      <a:latin typeface="Cambria Math" panose="02040503050406030204" pitchFamily="18" charset="0"/>
                    </a:rPr>
                    <m:t>4</m:t>
                  </m:r>
                  <m:rad>
                    <m:radPr>
                      <m:ctrlPr>
                        <a:rPr lang="en-US" sz="1200" b="0" i="1">
                          <a:ln>
                            <a:noFill/>
                          </a:ln>
                          <a:solidFill>
                            <a:srgbClr val="836967"/>
                          </a:solidFill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US" sz="1200" b="0" i="1">
                              <a:ln>
                                <a:noFill/>
                              </a:ln>
                              <a:solidFill>
                                <a:srgbClr val="836967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𝑄</m:t>
                          </m:r>
                          <m:r>
                            <a:rPr lang="en-US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⋅</m:t>
                          </m:r>
                          <m:r>
                            <a:rPr lang="de-DE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𝑆</m:t>
                          </m:r>
                          <m:r>
                            <a:rPr lang="en-US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⋅</m:t>
                          </m:r>
                          <m:r>
                            <a:rPr lang="el-GR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ᾱ</m:t>
                          </m:r>
                        </m:num>
                        <m:den>
                          <m:r>
                            <a:rPr lang="en-US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1−</m:t>
                          </m:r>
                          <m:r>
                            <a:rPr lang="el-GR" sz="1200" b="0" i="1">
                              <a:ln>
                                <a:noFill/>
                              </a:ln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ᾱ</m:t>
                          </m:r>
                        </m:den>
                      </m:f>
                    </m:e>
                  </m:rad>
                </m:oMath>
              </a14:m>
              <a:endParaRPr lang="el-GR" sz="1200">
                <a:ln>
                  <a:noFill/>
                </a:ln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24C9248-F83A-4E6D-969B-13F41250BA0E}"/>
                </a:ext>
              </a:extLst>
            </xdr:cNvPr>
            <xdr:cNvSpPr txBox="1"/>
          </xdr:nvSpPr>
          <xdr:spPr>
            <a:xfrm>
              <a:off x="1821180" y="1828800"/>
              <a:ext cx="1234440" cy="403860"/>
            </a:xfrm>
            <a:prstGeom prst="rect">
              <a:avLst/>
            </a:prstGeom>
            <a:solidFill>
              <a:srgbClr val="FFFF00"/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+mn-lt"/>
                </a:rPr>
                <a:t>  Dc</a:t>
              </a:r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=0,1</a:t>
              </a:r>
              <a:r>
                <a:rPr lang="de-DE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4</a:t>
              </a:r>
              <a:r>
                <a:rPr lang="en-US" sz="1200" b="0" i="0">
                  <a:ln>
                    <a:noFill/>
                  </a:ln>
                  <a:solidFill>
                    <a:srgbClr val="836967"/>
                  </a:solidFill>
                  <a:latin typeface="Cambria Math" panose="02040503050406030204" pitchFamily="18" charset="0"/>
                </a:rPr>
                <a:t>√(&amp;(</a:t>
              </a:r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𝑄⋅</a:t>
              </a:r>
              <a:r>
                <a:rPr lang="de-DE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𝑆</a:t>
              </a:r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⋅</a:t>
              </a:r>
              <a:r>
                <a:rPr lang="el-GR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ᾱ</a:t>
              </a:r>
              <a:r>
                <a:rPr lang="en-US" sz="1200" b="0" i="0">
                  <a:ln>
                    <a:noFill/>
                  </a:ln>
                  <a:solidFill>
                    <a:srgbClr val="836967"/>
                  </a:solidFill>
                  <a:latin typeface="Cambria Math" panose="02040503050406030204" pitchFamily="18" charset="0"/>
                </a:rPr>
                <a:t>)/(</a:t>
              </a:r>
              <a:r>
                <a:rPr lang="en-US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1−</a:t>
              </a:r>
              <a:r>
                <a:rPr lang="el-GR" sz="1200" b="0" i="0">
                  <a:ln>
                    <a:noFill/>
                  </a:ln>
                  <a:solidFill>
                    <a:schemeClr val="tx1"/>
                  </a:solidFill>
                  <a:latin typeface="Cambria Math" panose="02040503050406030204" pitchFamily="18" charset="0"/>
                </a:rPr>
                <a:t>ᾱ</a:t>
              </a:r>
              <a:r>
                <a:rPr lang="en-US" sz="1200" b="0" i="0">
                  <a:ln>
                    <a:noFill/>
                  </a:ln>
                  <a:solidFill>
                    <a:srgbClr val="836967"/>
                  </a:solidFill>
                  <a:latin typeface="Cambria Math" panose="02040503050406030204" pitchFamily="18" charset="0"/>
                </a:rPr>
                <a:t>))</a:t>
              </a:r>
              <a:endParaRPr lang="el-GR" sz="1200">
                <a:ln>
                  <a:noFill/>
                </a:ln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zoomScale="85" zoomScaleNormal="85" workbookViewId="0">
      <selection activeCell="P41" sqref="P41"/>
    </sheetView>
  </sheetViews>
  <sheetFormatPr defaultRowHeight="14.5" x14ac:dyDescent="0.35"/>
  <cols>
    <col min="1" max="9" width="9.26953125" customWidth="1"/>
    <col min="10" max="13" width="10.26953125" customWidth="1"/>
  </cols>
  <sheetData>
    <row r="1" spans="1:13" x14ac:dyDescent="0.35">
      <c r="H1" s="116" t="s">
        <v>42</v>
      </c>
      <c r="I1" s="117"/>
      <c r="J1" s="117"/>
      <c r="K1" s="117"/>
      <c r="L1" s="117"/>
      <c r="M1" s="118"/>
    </row>
    <row r="2" spans="1:13" x14ac:dyDescent="0.35">
      <c r="A2" s="116" t="s">
        <v>0</v>
      </c>
      <c r="B2" s="117"/>
      <c r="C2" s="117"/>
      <c r="D2" s="117"/>
      <c r="E2" s="117"/>
      <c r="F2" s="117"/>
      <c r="G2" s="118"/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 spans="1:13" x14ac:dyDescent="0.35">
      <c r="A3" s="116" t="s">
        <v>0</v>
      </c>
      <c r="B3" s="117"/>
      <c r="C3" s="117"/>
      <c r="D3" s="117"/>
      <c r="E3" s="117"/>
      <c r="F3" s="117"/>
      <c r="G3" s="118"/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5">
      <c r="A4" s="116" t="s">
        <v>100</v>
      </c>
      <c r="B4" s="117"/>
      <c r="C4" s="117"/>
      <c r="D4" s="117"/>
      <c r="E4" s="117"/>
      <c r="F4" s="117"/>
      <c r="G4" s="118"/>
      <c r="H4" s="1">
        <v>0.01</v>
      </c>
      <c r="I4" s="1">
        <v>0.02</v>
      </c>
      <c r="J4" s="1">
        <v>0.04</v>
      </c>
      <c r="K4" s="1">
        <v>0.06</v>
      </c>
      <c r="L4" s="1">
        <v>0.08</v>
      </c>
      <c r="M4" s="1">
        <v>0.1</v>
      </c>
    </row>
    <row r="5" spans="1:13" x14ac:dyDescent="0.35">
      <c r="A5" s="116" t="s">
        <v>101</v>
      </c>
      <c r="B5" s="117"/>
      <c r="C5" s="117"/>
      <c r="D5" s="117"/>
      <c r="E5" s="117"/>
      <c r="F5" s="117"/>
      <c r="G5" s="118"/>
      <c r="H5" s="1">
        <v>0.01</v>
      </c>
      <c r="I5" s="1">
        <v>0.02</v>
      </c>
      <c r="J5" s="1">
        <v>0.02</v>
      </c>
      <c r="K5" s="1">
        <v>0.02</v>
      </c>
      <c r="L5" s="1">
        <v>0.02</v>
      </c>
      <c r="M5" s="1">
        <v>0.02</v>
      </c>
    </row>
    <row r="6" spans="1:13" x14ac:dyDescent="0.35">
      <c r="A6" s="116" t="s">
        <v>104</v>
      </c>
      <c r="B6" s="117"/>
      <c r="C6" s="117"/>
      <c r="D6" s="117"/>
      <c r="E6" s="117"/>
      <c r="F6" s="117"/>
      <c r="G6" s="118"/>
      <c r="H6" s="1">
        <v>0.01</v>
      </c>
      <c r="I6" s="1">
        <v>0.01</v>
      </c>
      <c r="J6" s="1">
        <v>0.01</v>
      </c>
      <c r="K6" s="1">
        <v>0.01</v>
      </c>
      <c r="L6" s="1">
        <v>0.02</v>
      </c>
      <c r="M6" s="1">
        <v>0.02</v>
      </c>
    </row>
    <row r="7" spans="1:13" x14ac:dyDescent="0.35">
      <c r="A7" s="116" t="s">
        <v>102</v>
      </c>
      <c r="B7" s="117"/>
      <c r="C7" s="117"/>
      <c r="D7" s="117"/>
      <c r="E7" s="117"/>
      <c r="F7" s="117"/>
      <c r="G7" s="118"/>
      <c r="H7" s="1">
        <v>0.04</v>
      </c>
      <c r="I7" s="1">
        <v>0.04</v>
      </c>
      <c r="J7" s="1">
        <v>7.0000000000000007E-2</v>
      </c>
      <c r="K7" s="1">
        <v>0.06</v>
      </c>
      <c r="L7" s="1">
        <v>0.06</v>
      </c>
      <c r="M7" s="1">
        <v>7.0000000000000007E-2</v>
      </c>
    </row>
    <row r="8" spans="1:13" x14ac:dyDescent="0.35">
      <c r="A8" s="119" t="s">
        <v>1</v>
      </c>
      <c r="B8" s="120"/>
      <c r="C8" s="120"/>
      <c r="D8" s="120"/>
      <c r="E8" s="120"/>
      <c r="F8" s="120"/>
      <c r="G8" s="121"/>
      <c r="H8" s="1">
        <v>0.4</v>
      </c>
      <c r="I8" s="1">
        <v>0.55000000000000004</v>
      </c>
      <c r="J8" s="1">
        <v>0.8</v>
      </c>
      <c r="K8" s="1">
        <v>0.95</v>
      </c>
      <c r="L8" s="1">
        <v>0.9</v>
      </c>
      <c r="M8" s="1">
        <v>0.85</v>
      </c>
    </row>
    <row r="9" spans="1:13" x14ac:dyDescent="0.35">
      <c r="A9" s="116" t="s">
        <v>2</v>
      </c>
      <c r="B9" s="117"/>
      <c r="C9" s="117"/>
      <c r="D9" s="117"/>
      <c r="E9" s="117"/>
      <c r="F9" s="117"/>
      <c r="G9" s="118"/>
      <c r="H9" s="1">
        <v>0.2</v>
      </c>
      <c r="I9" s="1">
        <v>0.35</v>
      </c>
      <c r="J9" s="1">
        <v>0.55000000000000004</v>
      </c>
      <c r="K9" s="1">
        <v>0.65</v>
      </c>
      <c r="L9" s="1">
        <v>0.6</v>
      </c>
      <c r="M9" s="1">
        <v>0.6</v>
      </c>
    </row>
    <row r="10" spans="1:13" x14ac:dyDescent="0.35">
      <c r="A10" s="116" t="s">
        <v>3</v>
      </c>
      <c r="B10" s="117"/>
      <c r="C10" s="117"/>
      <c r="D10" s="117"/>
      <c r="E10" s="117"/>
      <c r="F10" s="117"/>
      <c r="G10" s="118"/>
      <c r="H10" s="1">
        <v>0.15</v>
      </c>
      <c r="I10" s="1">
        <v>0.25</v>
      </c>
      <c r="J10" s="1">
        <v>0.35</v>
      </c>
      <c r="K10" s="1">
        <v>0.4</v>
      </c>
      <c r="L10" s="1">
        <v>0.35</v>
      </c>
      <c r="M10" s="1">
        <v>0.35</v>
      </c>
    </row>
    <row r="11" spans="1:13" x14ac:dyDescent="0.35">
      <c r="A11" s="116" t="s">
        <v>5</v>
      </c>
      <c r="B11" s="117"/>
      <c r="C11" s="117"/>
      <c r="D11" s="117"/>
      <c r="E11" s="117"/>
      <c r="F11" s="117"/>
      <c r="G11" s="118"/>
      <c r="H11" s="1">
        <v>7.0000000000000007E-2</v>
      </c>
      <c r="I11" s="1">
        <v>0.17</v>
      </c>
      <c r="J11" s="1">
        <v>0.4</v>
      </c>
      <c r="K11" s="1">
        <v>0.55000000000000004</v>
      </c>
      <c r="L11" s="1">
        <v>0.65</v>
      </c>
      <c r="M11" s="1">
        <v>0.65</v>
      </c>
    </row>
    <row r="12" spans="1:13" x14ac:dyDescent="0.35">
      <c r="A12" s="116" t="s">
        <v>6</v>
      </c>
      <c r="B12" s="117"/>
      <c r="C12" s="117"/>
      <c r="D12" s="117"/>
      <c r="E12" s="117"/>
      <c r="F12" s="117"/>
      <c r="G12" s="118"/>
      <c r="H12" s="1">
        <v>0.1</v>
      </c>
      <c r="I12" s="1">
        <v>0.25</v>
      </c>
      <c r="J12" s="1">
        <v>0.55000000000000004</v>
      </c>
      <c r="K12" s="1">
        <v>0.65</v>
      </c>
      <c r="L12" s="1">
        <v>0.65</v>
      </c>
      <c r="M12" s="1">
        <v>0.6</v>
      </c>
    </row>
    <row r="13" spans="1:13" x14ac:dyDescent="0.35">
      <c r="A13" s="116" t="s">
        <v>96</v>
      </c>
      <c r="B13" s="117"/>
      <c r="C13" s="117"/>
      <c r="D13" s="117"/>
      <c r="E13" s="117"/>
      <c r="F13" s="117"/>
      <c r="G13" s="118"/>
      <c r="H13" s="1">
        <v>0.2</v>
      </c>
      <c r="I13" s="1">
        <v>0.3</v>
      </c>
      <c r="J13" s="1">
        <v>0.45</v>
      </c>
      <c r="K13" s="1">
        <v>0.55000000000000004</v>
      </c>
      <c r="L13" s="1">
        <v>0.45</v>
      </c>
      <c r="M13" s="1">
        <v>0.45</v>
      </c>
    </row>
    <row r="14" spans="1:13" x14ac:dyDescent="0.35">
      <c r="A14" s="116" t="s">
        <v>97</v>
      </c>
      <c r="B14" s="117"/>
      <c r="C14" s="117"/>
      <c r="D14" s="117"/>
      <c r="E14" s="117"/>
      <c r="F14" s="117"/>
      <c r="G14" s="118"/>
      <c r="H14" s="1">
        <v>0.35</v>
      </c>
      <c r="I14" s="1">
        <v>0.45</v>
      </c>
      <c r="J14" s="1">
        <v>0.5</v>
      </c>
      <c r="K14" s="1">
        <v>0.5</v>
      </c>
      <c r="L14" s="1">
        <v>0.45</v>
      </c>
      <c r="M14" s="1">
        <v>0.5</v>
      </c>
    </row>
    <row r="15" spans="1:13" x14ac:dyDescent="0.35">
      <c r="A15" s="116" t="s">
        <v>95</v>
      </c>
      <c r="B15" s="117"/>
      <c r="C15" s="117"/>
      <c r="D15" s="117"/>
      <c r="E15" s="117"/>
      <c r="F15" s="117"/>
      <c r="G15" s="118"/>
      <c r="H15" s="1">
        <v>0.4</v>
      </c>
      <c r="I15" s="1">
        <v>0.45</v>
      </c>
      <c r="J15" s="1">
        <v>0.45</v>
      </c>
      <c r="K15" s="1">
        <v>0.45</v>
      </c>
      <c r="L15" s="1">
        <v>0.45</v>
      </c>
      <c r="M15" s="1">
        <v>0.5</v>
      </c>
    </row>
    <row r="16" spans="1:13" x14ac:dyDescent="0.35">
      <c r="A16" s="116" t="s">
        <v>7</v>
      </c>
      <c r="B16" s="117"/>
      <c r="C16" s="117"/>
      <c r="D16" s="117"/>
      <c r="E16" s="117"/>
      <c r="F16" s="117"/>
      <c r="G16" s="118"/>
      <c r="H16" s="1">
        <v>0.4</v>
      </c>
      <c r="I16" s="1">
        <v>0.5</v>
      </c>
      <c r="J16" s="1">
        <v>0.6</v>
      </c>
      <c r="K16" s="1">
        <v>0.75</v>
      </c>
      <c r="L16" s="1">
        <v>0.7</v>
      </c>
      <c r="M16" s="1">
        <v>0.6</v>
      </c>
    </row>
    <row r="17" spans="1:13" x14ac:dyDescent="0.35">
      <c r="A17" s="116" t="s">
        <v>103</v>
      </c>
      <c r="B17" s="117"/>
      <c r="C17" s="117"/>
      <c r="D17" s="117"/>
      <c r="E17" s="117"/>
      <c r="F17" s="117"/>
      <c r="G17" s="118"/>
      <c r="H17" s="1">
        <v>7.0000000000000007E-2</v>
      </c>
      <c r="I17" s="1">
        <v>0.3</v>
      </c>
      <c r="J17" s="1">
        <v>0.5</v>
      </c>
      <c r="K17" s="1">
        <v>0.75</v>
      </c>
      <c r="L17" s="1">
        <v>0.7</v>
      </c>
      <c r="M17" s="1">
        <v>0.6</v>
      </c>
    </row>
    <row r="18" spans="1:13" x14ac:dyDescent="0.35">
      <c r="A18" s="116" t="s">
        <v>8</v>
      </c>
      <c r="B18" s="117"/>
      <c r="C18" s="117"/>
      <c r="D18" s="117"/>
      <c r="E18" s="117"/>
      <c r="F18" s="117"/>
      <c r="G18" s="118"/>
      <c r="H18" s="1">
        <v>0.4</v>
      </c>
      <c r="I18" s="1">
        <v>0.3</v>
      </c>
      <c r="J18" s="1">
        <v>0.2</v>
      </c>
      <c r="K18" s="1">
        <v>0.17</v>
      </c>
      <c r="L18" s="1">
        <v>0.15</v>
      </c>
      <c r="M18" s="1">
        <v>0.1</v>
      </c>
    </row>
    <row r="19" spans="1:13" x14ac:dyDescent="0.35">
      <c r="A19" s="116" t="s">
        <v>9</v>
      </c>
      <c r="B19" s="117"/>
      <c r="C19" s="117"/>
      <c r="D19" s="117"/>
      <c r="E19" s="117"/>
      <c r="F19" s="117"/>
      <c r="G19" s="118"/>
      <c r="H19" s="1">
        <v>0.3</v>
      </c>
      <c r="I19" s="1">
        <v>0.25</v>
      </c>
      <c r="J19" s="1">
        <v>0.2</v>
      </c>
      <c r="K19" s="1">
        <v>0.17</v>
      </c>
      <c r="L19" s="1">
        <v>0.15</v>
      </c>
      <c r="M19" s="1">
        <v>0.1</v>
      </c>
    </row>
    <row r="20" spans="1:13" x14ac:dyDescent="0.35">
      <c r="A20" s="116" t="s">
        <v>10</v>
      </c>
      <c r="B20" s="117"/>
      <c r="C20" s="117"/>
      <c r="D20" s="117"/>
      <c r="E20" s="117"/>
      <c r="F20" s="117"/>
      <c r="G20" s="118"/>
      <c r="H20" s="1">
        <v>0.6</v>
      </c>
      <c r="I20" s="1">
        <v>0.3</v>
      </c>
      <c r="J20" s="1">
        <v>0.1</v>
      </c>
      <c r="K20" s="1">
        <v>0.09</v>
      </c>
      <c r="L20" s="1">
        <v>0.09</v>
      </c>
      <c r="M20" s="1">
        <v>0.09</v>
      </c>
    </row>
    <row r="21" spans="1:13" x14ac:dyDescent="0.35">
      <c r="A21" s="116" t="s">
        <v>11</v>
      </c>
      <c r="B21" s="117"/>
      <c r="C21" s="117"/>
      <c r="D21" s="117"/>
      <c r="E21" s="117"/>
      <c r="F21" s="117"/>
      <c r="G21" s="118"/>
      <c r="H21" s="1">
        <v>0.14000000000000001</v>
      </c>
      <c r="I21" s="1">
        <v>0.1</v>
      </c>
      <c r="J21" s="1">
        <v>7.0000000000000007E-2</v>
      </c>
      <c r="K21" s="1">
        <v>0.05</v>
      </c>
      <c r="L21" s="1">
        <v>0.05</v>
      </c>
      <c r="M21" s="1">
        <v>0.05</v>
      </c>
    </row>
    <row r="22" spans="1:13" x14ac:dyDescent="0.35">
      <c r="A22" s="116" t="s">
        <v>12</v>
      </c>
      <c r="B22" s="117"/>
      <c r="C22" s="117"/>
      <c r="D22" s="117"/>
      <c r="E22" s="117"/>
      <c r="F22" s="117"/>
      <c r="G22" s="118"/>
      <c r="H22" s="1">
        <v>0.15</v>
      </c>
      <c r="I22" s="1">
        <v>0.11</v>
      </c>
      <c r="J22" s="1">
        <v>0.1</v>
      </c>
      <c r="K22" s="1">
        <v>7.0000000000000007E-2</v>
      </c>
      <c r="L22" s="1">
        <v>0.06</v>
      </c>
      <c r="M22" s="1">
        <v>7.0000000000000007E-2</v>
      </c>
    </row>
    <row r="23" spans="1:13" x14ac:dyDescent="0.35">
      <c r="A23" s="116" t="s">
        <v>13</v>
      </c>
      <c r="B23" s="117"/>
      <c r="C23" s="117"/>
      <c r="D23" s="117"/>
      <c r="E23" s="117"/>
      <c r="F23" s="117"/>
      <c r="G23" s="118"/>
      <c r="H23" s="1">
        <v>0.02</v>
      </c>
      <c r="I23" s="1">
        <v>0.03</v>
      </c>
      <c r="J23" s="1">
        <v>0.03</v>
      </c>
      <c r="K23" s="1">
        <v>0.03</v>
      </c>
      <c r="L23" s="1">
        <v>0.03</v>
      </c>
      <c r="M23" s="1">
        <v>0.02</v>
      </c>
    </row>
    <row r="24" spans="1:13" x14ac:dyDescent="0.35">
      <c r="A24" s="116" t="s">
        <v>14</v>
      </c>
      <c r="B24" s="117"/>
      <c r="C24" s="117"/>
      <c r="D24" s="117"/>
      <c r="E24" s="117"/>
      <c r="F24" s="117"/>
      <c r="G24" s="118"/>
      <c r="H24" s="1">
        <v>0.02</v>
      </c>
      <c r="I24" s="1">
        <v>0.04</v>
      </c>
      <c r="J24" s="1">
        <v>0.05</v>
      </c>
      <c r="K24" s="1">
        <v>0.05</v>
      </c>
      <c r="L24" s="1">
        <v>0.1</v>
      </c>
      <c r="M24" s="1">
        <v>0.05</v>
      </c>
    </row>
    <row r="25" spans="1:13" x14ac:dyDescent="0.35">
      <c r="A25" s="116" t="s">
        <v>15</v>
      </c>
      <c r="B25" s="117"/>
      <c r="C25" s="117"/>
      <c r="D25" s="117"/>
      <c r="E25" s="117"/>
      <c r="F25" s="117"/>
      <c r="G25" s="118"/>
      <c r="H25" s="1">
        <v>0.01</v>
      </c>
      <c r="I25" s="1">
        <v>0.01</v>
      </c>
      <c r="J25" s="1">
        <v>0.02</v>
      </c>
      <c r="K25" s="1">
        <v>0.02</v>
      </c>
      <c r="L25" s="1">
        <v>0.02</v>
      </c>
      <c r="M25" s="1">
        <v>0.02</v>
      </c>
    </row>
    <row r="26" spans="1:13" x14ac:dyDescent="0.35">
      <c r="A26" s="116" t="s">
        <v>22</v>
      </c>
      <c r="B26" s="117"/>
      <c r="C26" s="117"/>
      <c r="D26" s="117"/>
      <c r="E26" s="117"/>
      <c r="F26" s="117"/>
      <c r="G26" s="118"/>
      <c r="H26" s="1">
        <v>0.3</v>
      </c>
      <c r="I26" s="1">
        <v>0.1</v>
      </c>
      <c r="J26" s="1">
        <v>0.05</v>
      </c>
      <c r="K26" s="1">
        <v>0.04</v>
      </c>
      <c r="L26" s="1">
        <v>7.0000000000000007E-2</v>
      </c>
      <c r="M26" s="1">
        <v>0.09</v>
      </c>
    </row>
    <row r="27" spans="1:13" x14ac:dyDescent="0.35">
      <c r="A27" s="116" t="s">
        <v>16</v>
      </c>
      <c r="B27" s="117"/>
      <c r="C27" s="117"/>
      <c r="D27" s="117"/>
      <c r="E27" s="117"/>
      <c r="F27" s="117"/>
      <c r="G27" s="118"/>
      <c r="H27" s="1">
        <v>0.14000000000000001</v>
      </c>
      <c r="I27" s="1">
        <v>0.1</v>
      </c>
      <c r="J27" s="1">
        <v>0.06</v>
      </c>
      <c r="K27" s="1">
        <v>0.04</v>
      </c>
      <c r="L27" s="1">
        <v>0.04</v>
      </c>
      <c r="M27" s="1">
        <v>0.03</v>
      </c>
    </row>
    <row r="28" spans="1:13" x14ac:dyDescent="0.35">
      <c r="A28" s="116" t="s">
        <v>17</v>
      </c>
      <c r="B28" s="117"/>
      <c r="C28" s="117"/>
      <c r="D28" s="117"/>
      <c r="E28" s="117"/>
      <c r="F28" s="117"/>
      <c r="G28" s="118"/>
      <c r="H28" s="1">
        <v>0.3</v>
      </c>
      <c r="I28" s="1">
        <v>0.15</v>
      </c>
      <c r="J28" s="1">
        <v>0.1</v>
      </c>
      <c r="K28" s="1">
        <v>0.04</v>
      </c>
      <c r="L28" s="1">
        <v>0.05</v>
      </c>
      <c r="M28" s="1">
        <v>0.05</v>
      </c>
    </row>
    <row r="29" spans="1:13" x14ac:dyDescent="0.35">
      <c r="A29" s="116" t="s">
        <v>18</v>
      </c>
      <c r="B29" s="117"/>
      <c r="C29" s="117"/>
      <c r="D29" s="117"/>
      <c r="E29" s="117"/>
      <c r="F29" s="117"/>
      <c r="G29" s="118"/>
      <c r="H29" s="1">
        <v>0.14000000000000001</v>
      </c>
      <c r="I29" s="1">
        <v>0.1</v>
      </c>
      <c r="J29" s="1">
        <v>7.0000000000000007E-2</v>
      </c>
      <c r="K29" s="1">
        <v>0.05</v>
      </c>
      <c r="L29" s="1">
        <v>0.05</v>
      </c>
      <c r="M29" s="1">
        <v>0.05</v>
      </c>
    </row>
    <row r="30" spans="1:13" x14ac:dyDescent="0.35">
      <c r="A30" s="116" t="s">
        <v>19</v>
      </c>
      <c r="B30" s="117"/>
      <c r="C30" s="117"/>
      <c r="D30" s="117"/>
      <c r="E30" s="117"/>
      <c r="F30" s="117"/>
      <c r="G30" s="118"/>
      <c r="H30" s="1">
        <v>0.18</v>
      </c>
      <c r="I30" s="1">
        <v>0.06</v>
      </c>
      <c r="J30" s="1">
        <v>0.04</v>
      </c>
      <c r="K30" s="1">
        <v>0.03</v>
      </c>
      <c r="L30" s="1">
        <v>0.03</v>
      </c>
      <c r="M30" s="1">
        <v>0.02</v>
      </c>
    </row>
    <row r="31" spans="1:13" x14ac:dyDescent="0.35">
      <c r="A31" s="116" t="s">
        <v>20</v>
      </c>
      <c r="B31" s="117"/>
      <c r="C31" s="117"/>
      <c r="D31" s="117"/>
      <c r="E31" s="117"/>
      <c r="F31" s="117"/>
      <c r="G31" s="118"/>
      <c r="H31" s="1">
        <v>0.35</v>
      </c>
      <c r="I31" s="1">
        <v>2.5000000000000001E-2</v>
      </c>
      <c r="J31" s="1">
        <v>0.18</v>
      </c>
      <c r="K31" s="1">
        <v>0.12</v>
      </c>
      <c r="L31" s="1">
        <v>7.0000000000000007E-2</v>
      </c>
      <c r="M31" s="1">
        <v>0.04</v>
      </c>
    </row>
    <row r="32" spans="1:13" x14ac:dyDescent="0.35">
      <c r="A32" s="116" t="s">
        <v>21</v>
      </c>
      <c r="B32" s="117"/>
      <c r="C32" s="117"/>
      <c r="D32" s="117"/>
      <c r="E32" s="117"/>
      <c r="F32" s="117"/>
      <c r="G32" s="118"/>
      <c r="H32" s="1">
        <v>0.03</v>
      </c>
      <c r="I32" s="1">
        <v>0.03</v>
      </c>
      <c r="J32" s="1">
        <v>0.03</v>
      </c>
      <c r="K32" s="1">
        <v>0.04</v>
      </c>
      <c r="L32" s="1">
        <v>0.05</v>
      </c>
      <c r="M32" s="1">
        <v>7.0000000000000007E-2</v>
      </c>
    </row>
    <row r="33" spans="1:13" x14ac:dyDescent="0.35">
      <c r="A33" s="116" t="s">
        <v>23</v>
      </c>
      <c r="B33" s="117"/>
      <c r="C33" s="117"/>
      <c r="D33" s="117"/>
      <c r="E33" s="117"/>
      <c r="F33" s="117"/>
      <c r="G33" s="118"/>
      <c r="H33" s="1">
        <v>0.01</v>
      </c>
      <c r="I33" s="1">
        <v>0.02</v>
      </c>
      <c r="J33" s="1">
        <v>0.02</v>
      </c>
      <c r="K33" s="1">
        <v>0.03</v>
      </c>
      <c r="L33" s="1">
        <v>0.04</v>
      </c>
      <c r="M33" s="1">
        <v>0.05</v>
      </c>
    </row>
    <row r="34" spans="1:13" x14ac:dyDescent="0.35">
      <c r="A34" s="116" t="s">
        <v>24</v>
      </c>
      <c r="B34" s="117"/>
      <c r="C34" s="117"/>
      <c r="D34" s="117"/>
      <c r="E34" s="117"/>
      <c r="F34" s="117"/>
      <c r="G34" s="118"/>
      <c r="H34" s="1">
        <v>0.35</v>
      </c>
      <c r="I34" s="1">
        <v>0.45</v>
      </c>
      <c r="J34" s="1">
        <v>0.3</v>
      </c>
      <c r="K34" s="1">
        <v>0.3</v>
      </c>
      <c r="L34" s="1">
        <v>0.4</v>
      </c>
      <c r="M34" s="1">
        <v>0.25</v>
      </c>
    </row>
    <row r="35" spans="1:13" x14ac:dyDescent="0.35">
      <c r="A35" s="116" t="s">
        <v>25</v>
      </c>
      <c r="B35" s="117"/>
      <c r="C35" s="117"/>
      <c r="D35" s="117"/>
      <c r="E35" s="117"/>
      <c r="F35" s="117"/>
      <c r="G35" s="118"/>
      <c r="H35" s="1">
        <v>0.1</v>
      </c>
      <c r="I35" s="1">
        <v>0.05</v>
      </c>
      <c r="J35" s="1">
        <v>0.06</v>
      </c>
      <c r="K35" s="1">
        <v>7.0000000000000007E-2</v>
      </c>
      <c r="L35" s="1">
        <v>0.09</v>
      </c>
      <c r="M35" s="1">
        <v>0.08</v>
      </c>
    </row>
    <row r="36" spans="1:13" x14ac:dyDescent="0.35">
      <c r="A36" s="116" t="s">
        <v>26</v>
      </c>
      <c r="B36" s="117"/>
      <c r="C36" s="117"/>
      <c r="D36" s="117"/>
      <c r="E36" s="117"/>
      <c r="F36" s="117"/>
      <c r="G36" s="118"/>
      <c r="H36" s="1">
        <v>0.12</v>
      </c>
      <c r="I36" s="1">
        <v>0.09</v>
      </c>
      <c r="J36" s="1">
        <v>7.0000000000000007E-2</v>
      </c>
      <c r="K36" s="1">
        <v>0.05</v>
      </c>
      <c r="L36" s="1">
        <v>0.05</v>
      </c>
      <c r="M36" s="1">
        <v>0.04</v>
      </c>
    </row>
    <row r="37" spans="1:13" x14ac:dyDescent="0.35">
      <c r="A37" s="116" t="s">
        <v>27</v>
      </c>
      <c r="B37" s="117"/>
      <c r="C37" s="117"/>
      <c r="D37" s="117"/>
      <c r="E37" s="117"/>
      <c r="F37" s="117"/>
      <c r="G37" s="118"/>
      <c r="H37" s="1">
        <v>0.1</v>
      </c>
      <c r="I37" s="1">
        <v>0.9</v>
      </c>
      <c r="J37" s="1">
        <v>0.5</v>
      </c>
      <c r="K37" s="1">
        <v>0.45</v>
      </c>
      <c r="L37" s="1">
        <v>0.45</v>
      </c>
      <c r="M37" s="1">
        <v>0.4</v>
      </c>
    </row>
    <row r="38" spans="1:13" x14ac:dyDescent="0.35">
      <c r="A38" s="116" t="s">
        <v>28</v>
      </c>
      <c r="B38" s="117"/>
      <c r="C38" s="117"/>
      <c r="D38" s="117"/>
      <c r="E38" s="117"/>
      <c r="F38" s="117"/>
      <c r="G38" s="118"/>
      <c r="H38" s="1">
        <v>0.2</v>
      </c>
      <c r="I38" s="1">
        <v>0.9</v>
      </c>
      <c r="J38" s="1">
        <v>0.9</v>
      </c>
      <c r="K38" s="1">
        <v>0.9</v>
      </c>
      <c r="L38" s="1">
        <v>0.85</v>
      </c>
      <c r="M38" s="1">
        <v>0.85</v>
      </c>
    </row>
    <row r="39" spans="1:13" x14ac:dyDescent="0.35">
      <c r="A39" s="116" t="s">
        <v>29</v>
      </c>
      <c r="B39" s="117"/>
      <c r="C39" s="117"/>
      <c r="D39" s="117"/>
      <c r="E39" s="117"/>
      <c r="F39" s="117"/>
      <c r="G39" s="118"/>
      <c r="H39" s="1">
        <v>0.08</v>
      </c>
      <c r="I39" s="1">
        <v>0.25</v>
      </c>
      <c r="J39" s="1">
        <v>0.45</v>
      </c>
      <c r="K39" s="1">
        <v>0.75</v>
      </c>
      <c r="L39" s="1">
        <v>0.75</v>
      </c>
      <c r="M39" s="1">
        <v>0.65</v>
      </c>
    </row>
    <row r="40" spans="1:13" x14ac:dyDescent="0.35">
      <c r="A40" s="116" t="s">
        <v>30</v>
      </c>
      <c r="B40" s="117"/>
      <c r="C40" s="117"/>
      <c r="D40" s="117"/>
      <c r="E40" s="117"/>
      <c r="F40" s="117"/>
      <c r="G40" s="118"/>
      <c r="H40" s="1">
        <v>0.21</v>
      </c>
      <c r="I40" s="1">
        <v>0.5</v>
      </c>
      <c r="J40" s="1">
        <v>0.75</v>
      </c>
      <c r="K40" s="1">
        <v>0.9</v>
      </c>
      <c r="L40" s="1">
        <v>0.85</v>
      </c>
      <c r="M40" s="1">
        <v>0.8</v>
      </c>
    </row>
    <row r="41" spans="1:13" x14ac:dyDescent="0.35">
      <c r="A41" s="116" t="s">
        <v>31</v>
      </c>
      <c r="B41" s="117"/>
      <c r="C41" s="117"/>
      <c r="D41" s="117"/>
      <c r="E41" s="117"/>
      <c r="F41" s="117"/>
      <c r="G41" s="118"/>
      <c r="H41" s="1">
        <v>0.35</v>
      </c>
      <c r="I41" s="1">
        <v>0.65</v>
      </c>
      <c r="J41" s="1">
        <v>0.8</v>
      </c>
      <c r="K41" s="1">
        <v>0.9</v>
      </c>
      <c r="L41" s="1">
        <v>0.85</v>
      </c>
      <c r="M41" s="1">
        <v>0.8</v>
      </c>
    </row>
    <row r="42" spans="1:13" x14ac:dyDescent="0.35">
      <c r="A42" s="116" t="s">
        <v>98</v>
      </c>
      <c r="B42" s="117"/>
      <c r="C42" s="117"/>
      <c r="D42" s="117"/>
      <c r="E42" s="117"/>
      <c r="F42" s="117"/>
      <c r="G42" s="118"/>
      <c r="H42" s="1">
        <v>0.01</v>
      </c>
      <c r="I42" s="1">
        <v>0.02</v>
      </c>
      <c r="J42" s="1">
        <v>0.06</v>
      </c>
      <c r="K42" s="1">
        <v>0.15</v>
      </c>
      <c r="L42" s="1">
        <v>0.25</v>
      </c>
      <c r="M42" s="1">
        <v>0.45</v>
      </c>
    </row>
    <row r="43" spans="1:13" x14ac:dyDescent="0.35">
      <c r="A43" s="116" t="s">
        <v>99</v>
      </c>
      <c r="B43" s="117"/>
      <c r="C43" s="117"/>
      <c r="D43" s="117"/>
      <c r="E43" s="117"/>
      <c r="F43" s="117"/>
      <c r="G43" s="118"/>
      <c r="H43" s="1">
        <v>0.08</v>
      </c>
      <c r="I43" s="1">
        <v>0.25</v>
      </c>
      <c r="J43" s="1">
        <v>0.55000000000000004</v>
      </c>
      <c r="K43" s="1">
        <v>0.7</v>
      </c>
      <c r="L43" s="1">
        <v>0.7</v>
      </c>
      <c r="M43" s="1">
        <v>0.75</v>
      </c>
    </row>
    <row r="44" spans="1:13" x14ac:dyDescent="0.35">
      <c r="A44" s="116" t="s">
        <v>4</v>
      </c>
      <c r="B44" s="117"/>
      <c r="C44" s="117"/>
      <c r="D44" s="117"/>
      <c r="E44" s="117"/>
      <c r="F44" s="117"/>
      <c r="G44" s="118"/>
      <c r="H44" s="1">
        <v>0.02</v>
      </c>
      <c r="I44" s="1">
        <v>0.06</v>
      </c>
      <c r="J44" s="1">
        <v>0.14000000000000001</v>
      </c>
      <c r="K44" s="1">
        <v>0.35</v>
      </c>
      <c r="L44" s="1">
        <v>0.6</v>
      </c>
      <c r="M44" s="1">
        <v>0.65</v>
      </c>
    </row>
    <row r="45" spans="1:13" x14ac:dyDescent="0.35">
      <c r="A45" s="116" t="s">
        <v>32</v>
      </c>
      <c r="B45" s="117"/>
      <c r="C45" s="117"/>
      <c r="D45" s="117"/>
      <c r="E45" s="117"/>
      <c r="F45" s="117"/>
      <c r="G45" s="118"/>
      <c r="H45" s="1">
        <v>0.45</v>
      </c>
      <c r="I45" s="1">
        <v>0.9</v>
      </c>
      <c r="J45" s="1">
        <v>0.95</v>
      </c>
      <c r="K45" s="1">
        <v>1</v>
      </c>
      <c r="L45" s="1">
        <v>0.95</v>
      </c>
      <c r="M45" s="1">
        <v>0.85</v>
      </c>
    </row>
    <row r="47" spans="1:13" x14ac:dyDescent="0.35">
      <c r="H47" s="116" t="s">
        <v>41</v>
      </c>
      <c r="I47" s="117"/>
      <c r="J47" s="117"/>
      <c r="K47" s="117"/>
      <c r="L47" s="117"/>
      <c r="M47" s="118"/>
    </row>
    <row r="48" spans="1:13" x14ac:dyDescent="0.35">
      <c r="A48" s="116" t="s">
        <v>0</v>
      </c>
      <c r="B48" s="117"/>
      <c r="C48" s="117"/>
      <c r="D48" s="117"/>
      <c r="E48" s="117"/>
      <c r="F48" s="117"/>
      <c r="G48" s="118"/>
      <c r="H48" s="1" t="s">
        <v>33</v>
      </c>
      <c r="I48" s="1" t="s">
        <v>34</v>
      </c>
      <c r="J48" s="1" t="s">
        <v>35</v>
      </c>
      <c r="K48" s="1" t="s">
        <v>36</v>
      </c>
      <c r="L48" s="1" t="s">
        <v>37</v>
      </c>
      <c r="M48" s="1" t="s">
        <v>38</v>
      </c>
    </row>
    <row r="49" spans="1:13" x14ac:dyDescent="0.35">
      <c r="A49" s="116" t="s">
        <v>0</v>
      </c>
      <c r="B49" s="117"/>
      <c r="C49" s="117"/>
      <c r="D49" s="117"/>
      <c r="E49" s="117"/>
      <c r="F49" s="117"/>
      <c r="G49" s="118"/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35">
      <c r="A50" s="119" t="s">
        <v>39</v>
      </c>
      <c r="B50" s="120"/>
      <c r="C50" s="120"/>
      <c r="D50" s="120"/>
      <c r="E50" s="120"/>
      <c r="F50" s="120"/>
      <c r="G50" s="121"/>
      <c r="H50" s="1">
        <v>0.4</v>
      </c>
      <c r="I50" s="1">
        <v>0.7</v>
      </c>
      <c r="J50" s="1">
        <v>0.85</v>
      </c>
      <c r="K50" s="1">
        <v>0.95</v>
      </c>
      <c r="L50" s="1">
        <v>0.9</v>
      </c>
      <c r="M50" s="1">
        <v>0.8</v>
      </c>
    </row>
    <row r="51" spans="1:13" x14ac:dyDescent="0.35">
      <c r="A51" s="116" t="s">
        <v>40</v>
      </c>
      <c r="B51" s="117"/>
      <c r="C51" s="117"/>
      <c r="D51" s="117"/>
      <c r="E51" s="117"/>
      <c r="F51" s="117"/>
      <c r="G51" s="118"/>
      <c r="H51" s="1">
        <v>0.02</v>
      </c>
      <c r="I51" s="1">
        <v>0.03</v>
      </c>
      <c r="J51" s="1">
        <v>0.05</v>
      </c>
      <c r="K51" s="1">
        <v>0.08</v>
      </c>
      <c r="L51" s="1">
        <v>0.08</v>
      </c>
      <c r="M51" s="1">
        <v>0.05</v>
      </c>
    </row>
  </sheetData>
  <mergeCells count="50">
    <mergeCell ref="H47:M47"/>
    <mergeCell ref="A2:G2"/>
    <mergeCell ref="A8:G8"/>
    <mergeCell ref="A9:G9"/>
    <mergeCell ref="A10:G10"/>
    <mergeCell ref="A12:G12"/>
    <mergeCell ref="A16:G16"/>
    <mergeCell ref="A17:G17"/>
    <mergeCell ref="A18:G18"/>
    <mergeCell ref="A19:G19"/>
    <mergeCell ref="A20:G20"/>
    <mergeCell ref="A21:G21"/>
    <mergeCell ref="A22:G22"/>
    <mergeCell ref="A29:G29"/>
    <mergeCell ref="A28:G28"/>
    <mergeCell ref="A23:G23"/>
    <mergeCell ref="A35:G35"/>
    <mergeCell ref="A50:G50"/>
    <mergeCell ref="A51:G51"/>
    <mergeCell ref="A38:G38"/>
    <mergeCell ref="A39:G39"/>
    <mergeCell ref="A40:G40"/>
    <mergeCell ref="A41:G41"/>
    <mergeCell ref="A45:G45"/>
    <mergeCell ref="A48:G48"/>
    <mergeCell ref="A42:G42"/>
    <mergeCell ref="A49:G49"/>
    <mergeCell ref="A44:G44"/>
    <mergeCell ref="A43:G43"/>
    <mergeCell ref="A37:G37"/>
    <mergeCell ref="A36:G36"/>
    <mergeCell ref="A3:G3"/>
    <mergeCell ref="A4:G4"/>
    <mergeCell ref="A5:G5"/>
    <mergeCell ref="A7:G7"/>
    <mergeCell ref="H1:M1"/>
    <mergeCell ref="A6:G6"/>
    <mergeCell ref="A31:G31"/>
    <mergeCell ref="A13:G13"/>
    <mergeCell ref="A14:G14"/>
    <mergeCell ref="A25:G25"/>
    <mergeCell ref="A30:G30"/>
    <mergeCell ref="A11:G11"/>
    <mergeCell ref="A24:G24"/>
    <mergeCell ref="A15:G15"/>
    <mergeCell ref="A32:G32"/>
    <mergeCell ref="A33:G33"/>
    <mergeCell ref="A34:G34"/>
    <mergeCell ref="A26:G26"/>
    <mergeCell ref="A27:G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tabSelected="1" zoomScale="69" zoomScaleNormal="70" workbookViewId="0">
      <selection activeCell="A8" sqref="A8"/>
    </sheetView>
  </sheetViews>
  <sheetFormatPr defaultRowHeight="14.5" x14ac:dyDescent="0.35"/>
  <cols>
    <col min="1" max="1" width="37" customWidth="1"/>
    <col min="2" max="2" width="14.7265625" bestFit="1" customWidth="1"/>
    <col min="3" max="3" width="13.7265625" customWidth="1"/>
    <col min="4" max="8" width="12" bestFit="1" customWidth="1"/>
    <col min="10" max="10" width="14.7265625" bestFit="1" customWidth="1"/>
    <col min="11" max="16" width="12" bestFit="1" customWidth="1"/>
    <col min="18" max="18" width="14.7265625" bestFit="1" customWidth="1"/>
    <col min="19" max="19" width="13" customWidth="1"/>
  </cols>
  <sheetData>
    <row r="1" spans="1:24" x14ac:dyDescent="0.35">
      <c r="A1" s="129" t="s">
        <v>66</v>
      </c>
      <c r="B1" s="129"/>
      <c r="C1" s="129"/>
      <c r="D1" s="129"/>
      <c r="E1" s="129"/>
      <c r="F1" s="129"/>
      <c r="G1" s="129"/>
      <c r="H1" s="129"/>
      <c r="J1" s="125" t="s">
        <v>67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7"/>
    </row>
    <row r="2" spans="1:24" x14ac:dyDescent="0.35">
      <c r="A2" s="71" t="s">
        <v>90</v>
      </c>
      <c r="B2" s="112">
        <v>345.6</v>
      </c>
      <c r="C2" s="92"/>
      <c r="D2" s="92"/>
      <c r="E2" s="92"/>
      <c r="F2" s="92"/>
      <c r="G2" s="92"/>
      <c r="H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</row>
    <row r="4" spans="1:24" ht="16.5" x14ac:dyDescent="0.35">
      <c r="A4" s="18" t="s">
        <v>44</v>
      </c>
      <c r="B4" s="19" t="s">
        <v>68</v>
      </c>
      <c r="C4" s="19" t="s">
        <v>33</v>
      </c>
      <c r="D4" s="19" t="s">
        <v>34</v>
      </c>
      <c r="E4" s="19" t="s">
        <v>35</v>
      </c>
      <c r="F4" s="19" t="s">
        <v>36</v>
      </c>
      <c r="G4" s="19" t="s">
        <v>37</v>
      </c>
      <c r="H4" s="19" t="s">
        <v>38</v>
      </c>
      <c r="K4" s="131" t="s">
        <v>78</v>
      </c>
      <c r="L4" s="132"/>
      <c r="M4" s="132"/>
      <c r="N4" s="132"/>
      <c r="O4" s="132"/>
      <c r="P4" s="133"/>
      <c r="S4" s="128" t="s">
        <v>48</v>
      </c>
      <c r="T4" s="128"/>
      <c r="U4" s="128"/>
      <c r="V4" s="128"/>
      <c r="W4" s="128"/>
      <c r="X4" s="128"/>
    </row>
    <row r="5" spans="1:24" ht="26.25" customHeight="1" x14ac:dyDescent="0.35">
      <c r="A5" s="19" t="s">
        <v>5</v>
      </c>
      <c r="B5" s="111">
        <v>30</v>
      </c>
      <c r="C5" s="110">
        <f>INDEX(Properties!$H$4:$M$46,MATCH($A5,Properties!$A$4:$A$46,0),MATCH('RT60'!C$4,Properties!$H$2:$M$2,0))</f>
        <v>7.0000000000000007E-2</v>
      </c>
      <c r="D5" s="110">
        <f>INDEX(Properties!$H$4:$M$46,MATCH($A5,Properties!$A$4:$A$46,0),MATCH('RT60'!D$4,Properties!$H$2:$M$2,0))</f>
        <v>0.17</v>
      </c>
      <c r="E5" s="110">
        <f>INDEX(Properties!$H$4:$M$46,MATCH($A5,Properties!$A$4:$A$46,0),MATCH('RT60'!E$4,Properties!$H$2:$M$2,0))</f>
        <v>0.4</v>
      </c>
      <c r="F5" s="110">
        <f>INDEX(Properties!$H$4:$M$46,MATCH($A5,Properties!$A$4:$A$46,0),MATCH('RT60'!F$4,Properties!$H$2:$M$2,0))</f>
        <v>0.55000000000000004</v>
      </c>
      <c r="G5" s="110">
        <f>INDEX(Properties!$H$4:$M$46,MATCH($A5,Properties!$A$4:$A$46,0),MATCH('RT60'!G$4,Properties!$H$2:$M$2,0))</f>
        <v>0.65</v>
      </c>
      <c r="H5" s="110">
        <f>INDEX(Properties!$H$4:$M$46,MATCH($A5,Properties!$A$4:$A$46,0),MATCH('RT60'!H$4,Properties!$H$2:$M$2,0))</f>
        <v>0.65</v>
      </c>
      <c r="K5" s="49" t="s">
        <v>33</v>
      </c>
      <c r="L5" s="49" t="s">
        <v>34</v>
      </c>
      <c r="M5" s="49" t="s">
        <v>35</v>
      </c>
      <c r="N5" s="49" t="s">
        <v>36</v>
      </c>
      <c r="O5" s="49" t="s">
        <v>37</v>
      </c>
      <c r="P5" s="49" t="s">
        <v>38</v>
      </c>
      <c r="S5" s="44" t="s">
        <v>82</v>
      </c>
      <c r="T5" s="44" t="s">
        <v>34</v>
      </c>
      <c r="U5" s="44" t="s">
        <v>35</v>
      </c>
      <c r="V5" s="44" t="s">
        <v>36</v>
      </c>
      <c r="W5" s="44" t="s">
        <v>37</v>
      </c>
      <c r="X5" s="44" t="s">
        <v>38</v>
      </c>
    </row>
    <row r="6" spans="1:24" ht="26.25" customHeight="1" x14ac:dyDescent="0.35">
      <c r="A6" s="19" t="s">
        <v>101</v>
      </c>
      <c r="B6" s="111">
        <v>0</v>
      </c>
      <c r="C6" s="110">
        <f>INDEX(Properties!$H$4:$M$46,MATCH($A6,Properties!$A$4:$A$46,0),MATCH('RT60'!C$4,Properties!$H$2:$M$2,0))</f>
        <v>0.01</v>
      </c>
      <c r="D6" s="110">
        <f>INDEX(Properties!$H$4:$M$46,MATCH($A6,Properties!$A$4:$A$46,0),MATCH('RT60'!D$4,Properties!$H$2:$M$2,0))</f>
        <v>0.02</v>
      </c>
      <c r="E6" s="110">
        <f>INDEX(Properties!$H$4:$M$46,MATCH($A6,Properties!$A$4:$A$46,0),MATCH('RT60'!E$4,Properties!$H$2:$M$2,0))</f>
        <v>0.02</v>
      </c>
      <c r="F6" s="110">
        <f>INDEX(Properties!$H$4:$M$46,MATCH($A6,Properties!$A$4:$A$46,0),MATCH('RT60'!F$4,Properties!$H$2:$M$2,0))</f>
        <v>0.02</v>
      </c>
      <c r="G6" s="110">
        <f>INDEX(Properties!$H$4:$M$46,MATCH($A6,Properties!$A$4:$A$46,0),MATCH('RT60'!G$4,Properties!$H$2:$M$2,0))</f>
        <v>0.02</v>
      </c>
      <c r="H6" s="110">
        <f>INDEX(Properties!$H$4:$M$46,MATCH($A6,Properties!$A$4:$A$46,0),MATCH('RT60'!H$4,Properties!$H$2:$M$2,0))</f>
        <v>0.02</v>
      </c>
      <c r="J6" s="50" t="s">
        <v>51</v>
      </c>
      <c r="K6" s="53">
        <f>'Sabine + NorrisEyring'!D15</f>
        <v>6.0200000000000005</v>
      </c>
      <c r="L6" s="53">
        <f>'Sabine + NorrisEyring'!E15</f>
        <v>13.75</v>
      </c>
      <c r="M6" s="53">
        <f>'Sabine + NorrisEyring'!F15</f>
        <v>21.55</v>
      </c>
      <c r="N6" s="53">
        <f>'Sabine + NorrisEyring'!G15</f>
        <v>26.35</v>
      </c>
      <c r="O6" s="53">
        <f>'Sabine + NorrisEyring'!H15</f>
        <v>26.25</v>
      </c>
      <c r="P6" s="53">
        <f>'Sabine + NorrisEyring'!I15</f>
        <v>24.8</v>
      </c>
      <c r="R6" s="86" t="s">
        <v>51</v>
      </c>
      <c r="S6" s="85">
        <f>'Sabine + NorrisEyring'!N3</f>
        <v>3.7544939271255062</v>
      </c>
      <c r="T6" s="85">
        <f>'Sabine + NorrisEyring'!O3</f>
        <v>1.9088027444253861</v>
      </c>
      <c r="U6" s="85">
        <f>'Sabine + NorrisEyring'!P3</f>
        <v>1.3824000000000001</v>
      </c>
      <c r="V6" s="85">
        <f>'Sabine + NorrisEyring'!Q3</f>
        <v>1.1776</v>
      </c>
      <c r="W6" s="85">
        <f>'Sabine + NorrisEyring'!R3</f>
        <v>1.2082866449511402</v>
      </c>
      <c r="X6" s="85">
        <f>'Sabine + NorrisEyring'!S3</f>
        <v>1.3123018867924527</v>
      </c>
    </row>
    <row r="7" spans="1:24" ht="26.25" customHeight="1" x14ac:dyDescent="0.35">
      <c r="A7" s="19" t="s">
        <v>30</v>
      </c>
      <c r="B7" s="111">
        <v>22</v>
      </c>
      <c r="C7" s="110">
        <f>INDEX(Properties!$H$4:$M$46,MATCH($A7,Properties!$A$4:$A$46,0),MATCH('RT60'!C$4,Properties!$H$2:$M$2,0))</f>
        <v>0.21</v>
      </c>
      <c r="D7" s="110">
        <f>INDEX(Properties!$H$4:$M$46,MATCH($A7,Properties!$A$4:$A$46,0),MATCH('RT60'!D$4,Properties!$H$2:$M$2,0))</f>
        <v>0.5</v>
      </c>
      <c r="E7" s="110">
        <f>INDEX(Properties!$H$4:$M$46,MATCH($A7,Properties!$A$4:$A$46,0),MATCH('RT60'!E$4,Properties!$H$2:$M$2,0))</f>
        <v>0.75</v>
      </c>
      <c r="F7" s="110">
        <f>INDEX(Properties!$H$4:$M$46,MATCH($A7,Properties!$A$4:$A$46,0),MATCH('RT60'!F$4,Properties!$H$2:$M$2,0))</f>
        <v>0.9</v>
      </c>
      <c r="G7" s="110">
        <f>INDEX(Properties!$H$4:$M$46,MATCH($A7,Properties!$A$4:$A$46,0),MATCH('RT60'!G$4,Properties!$H$2:$M$2,0))</f>
        <v>0.85</v>
      </c>
      <c r="H7" s="110">
        <f>INDEX(Properties!$H$4:$M$46,MATCH($A7,Properties!$A$4:$A$46,0),MATCH('RT60'!H$4,Properties!$H$2:$M$2,0))</f>
        <v>0.8</v>
      </c>
      <c r="J7" s="50" t="s">
        <v>52</v>
      </c>
      <c r="K7" s="53">
        <f>'Sabine + NorrisEyring'!D16</f>
        <v>6.307827414667444</v>
      </c>
      <c r="L7" s="53">
        <f>'Sabine + NorrisEyring'!E16</f>
        <v>15.389552591695912</v>
      </c>
      <c r="M7" s="53">
        <f>'Sabine + NorrisEyring'!F16</f>
        <v>26.001346517421048</v>
      </c>
      <c r="N7" s="53">
        <f>'Sabine + NorrisEyring'!G16</f>
        <v>33.479483487608817</v>
      </c>
      <c r="O7" s="53">
        <f>'Sabine + NorrisEyring'!H16</f>
        <v>33.31486424017433</v>
      </c>
      <c r="P7" s="53">
        <f>'Sabine + NorrisEyring'!I16</f>
        <v>30.972250689383003</v>
      </c>
      <c r="R7" s="86" t="s">
        <v>52</v>
      </c>
      <c r="S7" s="85">
        <f>'Sabine + NorrisEyring'!N6</f>
        <v>3.6829650268562322</v>
      </c>
      <c r="T7" s="85">
        <f>'Sabine + NorrisEyring'!O6</f>
        <v>1.8071584455243697</v>
      </c>
      <c r="U7" s="85">
        <f>'Sabine + NorrisEyring'!P6</f>
        <v>1.2447410276179336</v>
      </c>
      <c r="V7" s="85">
        <f>'Sabine + NorrisEyring'!Q6</f>
        <v>1.0232094244271146</v>
      </c>
      <c r="W7" s="85">
        <f>'Sabine + NorrisEyring'!R6</f>
        <v>1.0475711610294305</v>
      </c>
      <c r="X7" s="85">
        <f>'Sabine + NorrisEyring'!S6</f>
        <v>1.14554296352922</v>
      </c>
    </row>
    <row r="8" spans="1:24" ht="26.25" customHeight="1" x14ac:dyDescent="0.35">
      <c r="A8" s="19" t="s">
        <v>13</v>
      </c>
      <c r="B8" s="111">
        <v>35</v>
      </c>
      <c r="C8" s="110">
        <f>INDEX(Properties!$H$4:$M$46,MATCH($A8,Properties!$A$4:$A$46,0),MATCH('RT60'!C$4,Properties!$H$2:$M$2,0))</f>
        <v>0.02</v>
      </c>
      <c r="D8" s="110">
        <f>INDEX(Properties!$H$4:$M$46,MATCH($A8,Properties!$A$4:$A$46,0),MATCH('RT60'!D$4,Properties!$H$2:$M$2,0))</f>
        <v>0.03</v>
      </c>
      <c r="E8" s="110">
        <f>INDEX(Properties!$H$4:$M$46,MATCH($A8,Properties!$A$4:$A$46,0),MATCH('RT60'!E$4,Properties!$H$2:$M$2,0))</f>
        <v>0.03</v>
      </c>
      <c r="F8" s="110">
        <f>INDEX(Properties!$H$4:$M$46,MATCH($A8,Properties!$A$4:$A$46,0),MATCH('RT60'!F$4,Properties!$H$2:$M$2,0))</f>
        <v>0.03</v>
      </c>
      <c r="G8" s="110">
        <f>INDEX(Properties!$H$4:$M$46,MATCH($A8,Properties!$A$4:$A$46,0),MATCH('RT60'!G$4,Properties!$H$2:$M$2,0))</f>
        <v>0.03</v>
      </c>
      <c r="H8" s="110">
        <f>INDEX(Properties!$H$4:$M$46,MATCH($A8,Properties!$A$4:$A$46,0),MATCH('RT60'!H$4,Properties!$H$2:$M$2,0))</f>
        <v>0.02</v>
      </c>
      <c r="J8" s="50" t="s">
        <v>53</v>
      </c>
      <c r="K8" s="53">
        <f>'Sette-Millington'!C13</f>
        <v>8.0701068786217824</v>
      </c>
      <c r="L8" s="53">
        <f>'Sette-Millington'!D13</f>
        <v>21.9051975800284</v>
      </c>
      <c r="M8" s="53">
        <f>'Sette-Millington'!E13</f>
        <v>46.889316919582114</v>
      </c>
      <c r="N8" s="53">
        <f>'Sette-Millington'!F13</f>
        <v>75.678175194366972</v>
      </c>
      <c r="O8" s="53">
        <f>'Sette-Millington'!G13</f>
        <v>74.297375664414531</v>
      </c>
      <c r="P8" s="53">
        <f>'Sette-Millington'!H13</f>
        <v>67.609392564623732</v>
      </c>
      <c r="R8" s="86" t="s">
        <v>53</v>
      </c>
      <c r="S8" s="85">
        <f>'Sette-Millington'!L3</f>
        <v>3.2982363656812641</v>
      </c>
      <c r="T8" s="85">
        <f>'Sette-Millington'!M3</f>
        <v>1.4915240666032052</v>
      </c>
      <c r="U8" s="85">
        <f>'Sette-Millington'!N3</f>
        <v>0.84833327458221852</v>
      </c>
      <c r="V8" s="85">
        <f>'Sette-Millington'!O3</f>
        <v>0.57613016489511559</v>
      </c>
      <c r="W8" s="85">
        <f>'Sette-Millington'!P3</f>
        <v>0.5913193604722643</v>
      </c>
      <c r="X8" s="85">
        <f>'Sette-Millington'!Q3</f>
        <v>0.65299843509388722</v>
      </c>
    </row>
    <row r="9" spans="1:24" ht="29" x14ac:dyDescent="0.35">
      <c r="A9" s="19" t="s">
        <v>104</v>
      </c>
      <c r="B9" s="111">
        <v>0</v>
      </c>
      <c r="C9" s="110">
        <f>INDEX(Properties!$H$4:$M$46,MATCH($A9,Properties!$A$4:$A$46,0),MATCH('RT60'!C$4,Properties!$H$2:$M$2,0))</f>
        <v>0.01</v>
      </c>
      <c r="D9" s="110">
        <f>INDEX(Properties!$H$4:$M$46,MATCH($A9,Properties!$A$4:$A$46,0),MATCH('RT60'!D$4,Properties!$H$2:$M$2,0))</f>
        <v>0.01</v>
      </c>
      <c r="E9" s="110">
        <f>INDEX(Properties!$H$4:$M$46,MATCH($A9,Properties!$A$4:$A$46,0),MATCH('RT60'!E$4,Properties!$H$2:$M$2,0))</f>
        <v>0.01</v>
      </c>
      <c r="F9" s="110">
        <f>INDEX(Properties!$H$4:$M$46,MATCH($A9,Properties!$A$4:$A$46,0),MATCH('RT60'!F$4,Properties!$H$2:$M$2,0))</f>
        <v>0.01</v>
      </c>
      <c r="G9" s="110">
        <f>INDEX(Properties!$H$4:$M$46,MATCH($A9,Properties!$A$4:$A$46,0),MATCH('RT60'!G$4,Properties!$H$2:$M$2,0))</f>
        <v>0.02</v>
      </c>
      <c r="H9" s="110">
        <f>INDEX(Properties!$H$4:$M$46,MATCH($A9,Properties!$A$4:$A$46,0),MATCH('RT60'!H$4,Properties!$H$2:$M$2,0))</f>
        <v>0.02</v>
      </c>
      <c r="R9" s="87" t="s">
        <v>94</v>
      </c>
      <c r="S9" s="85">
        <f>'Air absorption'!P5</f>
        <v>3.7544939271255062</v>
      </c>
      <c r="T9" s="85">
        <f>'Air absorption'!Q5</f>
        <v>1.9088027444253861</v>
      </c>
      <c r="U9" s="105">
        <f>'Air absorption'!R5</f>
        <v>1.3824000000000001</v>
      </c>
      <c r="V9" s="85">
        <f>'Air absorption'!S5</f>
        <v>1.1776</v>
      </c>
      <c r="W9" s="85">
        <f>'Air absorption'!T5</f>
        <v>1.1278733185765368</v>
      </c>
      <c r="X9" s="85">
        <f>'Air absorption'!U5</f>
        <v>1.1013427919939194</v>
      </c>
    </row>
    <row r="10" spans="1:24" ht="26.25" customHeight="1" x14ac:dyDescent="0.35">
      <c r="A10" s="19" t="s">
        <v>11</v>
      </c>
      <c r="B10" s="111">
        <v>0</v>
      </c>
      <c r="C10" s="110">
        <f>INDEX(Properties!$H$4:$M$46,MATCH($A10,Properties!$A$4:$A$46,0),MATCH('RT60'!C$4,Properties!$H$2:$M$2,0))</f>
        <v>0.14000000000000001</v>
      </c>
      <c r="D10" s="110">
        <f>INDEX(Properties!$H$4:$M$46,MATCH($A10,Properties!$A$4:$A$46,0),MATCH('RT60'!D$4,Properties!$H$2:$M$2,0))</f>
        <v>0.1</v>
      </c>
      <c r="E10" s="110">
        <f>INDEX(Properties!$H$4:$M$46,MATCH($A10,Properties!$A$4:$A$46,0),MATCH('RT60'!E$4,Properties!$H$2:$M$2,0))</f>
        <v>7.0000000000000007E-2</v>
      </c>
      <c r="F10" s="110">
        <f>INDEX(Properties!$H$4:$M$46,MATCH($A10,Properties!$A$4:$A$46,0),MATCH('RT60'!F$4,Properties!$H$2:$M$2,0))</f>
        <v>0.05</v>
      </c>
      <c r="G10" s="110">
        <f>INDEX(Properties!$H$4:$M$46,MATCH($A10,Properties!$A$4:$A$46,0),MATCH('RT60'!G$4,Properties!$H$2:$M$2,0))</f>
        <v>0.05</v>
      </c>
      <c r="H10" s="110">
        <f>INDEX(Properties!$H$4:$M$46,MATCH($A10,Properties!$A$4:$A$46,0),MATCH('RT60'!H$4,Properties!$H$2:$M$2,0))</f>
        <v>0.05</v>
      </c>
      <c r="K10" s="131" t="s">
        <v>79</v>
      </c>
      <c r="L10" s="132"/>
      <c r="M10" s="132"/>
      <c r="N10" s="132"/>
      <c r="O10" s="132"/>
      <c r="P10" s="133"/>
      <c r="T10" s="109"/>
      <c r="U10" s="106"/>
      <c r="V10" s="8"/>
      <c r="W10" s="8"/>
      <c r="X10" s="8"/>
    </row>
    <row r="11" spans="1:24" ht="26.25" customHeight="1" x14ac:dyDescent="0.35">
      <c r="A11" s="19" t="s">
        <v>104</v>
      </c>
      <c r="B11" s="111">
        <v>0</v>
      </c>
      <c r="C11" s="110">
        <f>INDEX(Properties!$H$4:$M$46,MATCH($A11,Properties!$A$4:$A$46,0),MATCH('RT60'!C$4,Properties!$H$2:$M$2,0))</f>
        <v>0.01</v>
      </c>
      <c r="D11" s="110">
        <f>INDEX(Properties!$H$4:$M$46,MATCH($A11,Properties!$A$4:$A$46,0),MATCH('RT60'!D$4,Properties!$H$2:$M$2,0))</f>
        <v>0.01</v>
      </c>
      <c r="E11" s="110">
        <f>INDEX(Properties!$H$4:$M$46,MATCH($A11,Properties!$A$4:$A$46,0),MATCH('RT60'!E$4,Properties!$H$2:$M$2,0))</f>
        <v>0.01</v>
      </c>
      <c r="F11" s="110">
        <f>INDEX(Properties!$H$4:$M$46,MATCH($A11,Properties!$A$4:$A$46,0),MATCH('RT60'!F$4,Properties!$H$2:$M$2,0))</f>
        <v>0.01</v>
      </c>
      <c r="G11" s="110">
        <f>INDEX(Properties!$H$4:$M$46,MATCH($A11,Properties!$A$4:$A$46,0),MATCH('RT60'!G$4,Properties!$H$2:$M$2,0))</f>
        <v>0.02</v>
      </c>
      <c r="H11" s="110">
        <f>INDEX(Properties!$H$4:$M$46,MATCH($A11,Properties!$A$4:$A$46,0),MATCH('RT60'!H$4,Properties!$H$2:$M$2,0))</f>
        <v>0.02</v>
      </c>
      <c r="K11" s="49" t="s">
        <v>33</v>
      </c>
      <c r="L11" s="49" t="s">
        <v>34</v>
      </c>
      <c r="M11" s="49" t="s">
        <v>35</v>
      </c>
      <c r="N11" s="49" t="s">
        <v>36</v>
      </c>
      <c r="O11" s="49" t="s">
        <v>37</v>
      </c>
      <c r="P11" s="49" t="s">
        <v>38</v>
      </c>
      <c r="R11" s="107" t="s">
        <v>111</v>
      </c>
      <c r="S11" s="108">
        <f>'Best RT60'!E10</f>
        <v>0.76484684344212228</v>
      </c>
      <c r="T11" s="10"/>
    </row>
    <row r="12" spans="1:24" ht="26.25" customHeight="1" x14ac:dyDescent="0.35">
      <c r="A12" s="19" t="s">
        <v>25</v>
      </c>
      <c r="B12" s="111">
        <v>0</v>
      </c>
      <c r="C12" s="110">
        <f>INDEX(Properties!$H$4:$M$46,MATCH($A12,Properties!$A$4:$A$46,0),MATCH('RT60'!C$4,Properties!$H$2:$M$2,0))</f>
        <v>0.1</v>
      </c>
      <c r="D12" s="110">
        <f>INDEX(Properties!$H$4:$M$46,MATCH($A12,Properties!$A$4:$A$46,0),MATCH('RT60'!D$4,Properties!$H$2:$M$2,0))</f>
        <v>0.05</v>
      </c>
      <c r="E12" s="110">
        <f>INDEX(Properties!$H$4:$M$46,MATCH($A12,Properties!$A$4:$A$46,0),MATCH('RT60'!E$4,Properties!$H$2:$M$2,0))</f>
        <v>0.06</v>
      </c>
      <c r="F12" s="110">
        <f>INDEX(Properties!$H$4:$M$46,MATCH($A12,Properties!$A$4:$A$46,0),MATCH('RT60'!F$4,Properties!$H$2:$M$2,0))</f>
        <v>7.0000000000000007E-2</v>
      </c>
      <c r="G12" s="110">
        <f>INDEX(Properties!$H$4:$M$46,MATCH($A12,Properties!$A$4:$A$46,0),MATCH('RT60'!G$4,Properties!$H$2:$M$2,0))</f>
        <v>0.09</v>
      </c>
      <c r="H12" s="110">
        <f>INDEX(Properties!$H$4:$M$46,MATCH($A12,Properties!$A$4:$A$46,0),MATCH('RT60'!H$4,Properties!$H$2:$M$2,0))</f>
        <v>0.08</v>
      </c>
      <c r="J12" s="45"/>
      <c r="K12" s="54">
        <f>'Sabine + NorrisEyring'!D23</f>
        <v>8.8000000000000007</v>
      </c>
      <c r="L12" s="54">
        <f>'Sabine + NorrisEyring'!E23</f>
        <v>15.399999999999999</v>
      </c>
      <c r="M12" s="54">
        <f>'Sabine + NorrisEyring'!F23</f>
        <v>18.7</v>
      </c>
      <c r="N12" s="54">
        <f>'Sabine + NorrisEyring'!G23</f>
        <v>20.9</v>
      </c>
      <c r="O12" s="54">
        <f>'Sabine + NorrisEyring'!H23</f>
        <v>19.8</v>
      </c>
      <c r="P12" s="54">
        <f>'Sabine + NorrisEyring'!I23</f>
        <v>17.600000000000001</v>
      </c>
    </row>
    <row r="13" spans="1:24" ht="26.25" customHeight="1" x14ac:dyDescent="0.35">
      <c r="A13" s="19" t="s">
        <v>25</v>
      </c>
      <c r="B13" s="111">
        <v>0</v>
      </c>
      <c r="C13" s="110">
        <f>INDEX(Properties!$H$4:$M$46,MATCH($A13,Properties!$A$4:$A$46,0),MATCH('RT60'!C$4,Properties!$H$2:$M$2,0))</f>
        <v>0.1</v>
      </c>
      <c r="D13" s="110">
        <f>INDEX(Properties!$H$4:$M$46,MATCH($A13,Properties!$A$4:$A$46,0),MATCH('RT60'!D$4,Properties!$H$2:$M$2,0))</f>
        <v>0.05</v>
      </c>
      <c r="E13" s="110">
        <f>INDEX(Properties!$H$4:$M$46,MATCH($A13,Properties!$A$4:$A$46,0),MATCH('RT60'!E$4,Properties!$H$2:$M$2,0))</f>
        <v>0.06</v>
      </c>
      <c r="F13" s="110">
        <f>INDEX(Properties!$H$4:$M$46,MATCH($A13,Properties!$A$4:$A$46,0),MATCH('RT60'!F$4,Properties!$H$2:$M$2,0))</f>
        <v>7.0000000000000007E-2</v>
      </c>
      <c r="G13" s="110">
        <f>INDEX(Properties!$H$4:$M$46,MATCH($A13,Properties!$A$4:$A$46,0),MATCH('RT60'!G$4,Properties!$H$2:$M$2,0))</f>
        <v>0.09</v>
      </c>
      <c r="H13" s="110">
        <f>INDEX(Properties!$H$4:$M$46,MATCH($A13,Properties!$A$4:$A$46,0),MATCH('RT60'!H$4,Properties!$H$2:$M$2,0))</f>
        <v>0.08</v>
      </c>
      <c r="J13" s="45"/>
      <c r="S13" s="134" t="s">
        <v>91</v>
      </c>
      <c r="T13" s="134"/>
      <c r="U13" s="134"/>
      <c r="V13" s="134"/>
      <c r="W13" s="134"/>
      <c r="X13" s="134"/>
    </row>
    <row r="14" spans="1:24" ht="26.25" customHeight="1" x14ac:dyDescent="0.35">
      <c r="K14" s="130" t="s">
        <v>69</v>
      </c>
      <c r="L14" s="130"/>
      <c r="M14" s="130"/>
      <c r="N14" s="130"/>
      <c r="O14" s="130"/>
      <c r="P14" s="130"/>
      <c r="S14" s="27" t="s">
        <v>82</v>
      </c>
      <c r="T14" s="27" t="s">
        <v>34</v>
      </c>
      <c r="U14" s="27" t="s">
        <v>35</v>
      </c>
      <c r="V14" s="27" t="s">
        <v>36</v>
      </c>
      <c r="W14" s="27" t="s">
        <v>37</v>
      </c>
      <c r="X14" s="27" t="s">
        <v>38</v>
      </c>
    </row>
    <row r="15" spans="1:24" ht="29" x14ac:dyDescent="0.35">
      <c r="A15" s="20" t="s">
        <v>45</v>
      </c>
      <c r="B15" s="21" t="s">
        <v>43</v>
      </c>
      <c r="C15" s="22"/>
      <c r="D15" s="22"/>
      <c r="E15" s="22"/>
      <c r="F15" s="22"/>
      <c r="G15" s="22"/>
      <c r="H15" s="22"/>
      <c r="K15" s="52" t="s">
        <v>33</v>
      </c>
      <c r="L15" s="52" t="s">
        <v>34</v>
      </c>
      <c r="M15" s="52" t="s">
        <v>35</v>
      </c>
      <c r="N15" s="52" t="s">
        <v>36</v>
      </c>
      <c r="O15" s="52" t="s">
        <v>37</v>
      </c>
      <c r="P15" s="52" t="s">
        <v>38</v>
      </c>
      <c r="S15" s="85">
        <f>'Critical Distance'!B12</f>
        <v>0.36005593384940071</v>
      </c>
      <c r="T15" s="85">
        <f>'Critical Distance'!C12</f>
        <v>0.58231366279517638</v>
      </c>
      <c r="U15" s="85">
        <f>'Critical Distance'!D12</f>
        <v>0.78908198879362601</v>
      </c>
      <c r="V15" s="85">
        <f>'Critical Distance'!E12</f>
        <v>0.9226255385468386</v>
      </c>
      <c r="W15" s="85">
        <f>'Critical Distance'!F12</f>
        <v>0.91974256200748827</v>
      </c>
      <c r="X15" s="85">
        <f>'Critical Distance'!G12</f>
        <v>0.87848641914692838</v>
      </c>
    </row>
    <row r="16" spans="1:24" ht="21" customHeight="1" x14ac:dyDescent="0.35">
      <c r="A16" s="21" t="s">
        <v>120</v>
      </c>
      <c r="B16" s="113">
        <v>22</v>
      </c>
      <c r="C16" s="114">
        <f>INDEX(Properties!$H$49:$M$51, MATCH('RT60'!$A16,Properties!$A$49:$A$51,0),MATCH('RT60'!C$4,Properties!$H$48:$M$48,0))</f>
        <v>0.4</v>
      </c>
      <c r="D16" s="114">
        <f>INDEX(Properties!$H$49:$M$51, MATCH('RT60'!$A16,Properties!$A$49:$A$51,0),MATCH('RT60'!D$4,Properties!$H$48:$M$48,0))</f>
        <v>0.7</v>
      </c>
      <c r="E16" s="114">
        <f>INDEX(Properties!$H$49:$M$51, MATCH('RT60'!$A16,Properties!$A$49:$A$51,0),MATCH('RT60'!E$4,Properties!$H$48:$M$48,0))</f>
        <v>0.85</v>
      </c>
      <c r="F16" s="114">
        <f>INDEX(Properties!$H$49:$M$51, MATCH('RT60'!$A16,Properties!$A$49:$A$51,0),MATCH('RT60'!F$4,Properties!$H$48:$M$48,0))</f>
        <v>0.95</v>
      </c>
      <c r="G16" s="114">
        <f>INDEX(Properties!$H$49:$M$51, MATCH('RT60'!$A16,Properties!$A$49:$A$51,0),MATCH('RT60'!G$4,Properties!$H$48:$M$48,0))</f>
        <v>0.9</v>
      </c>
      <c r="H16" s="114">
        <f>INDEX(Properties!$H$49:$M$51, MATCH('RT60'!$A16,Properties!$A$49:$A$51,0),MATCH('RT60'!H$4,Properties!$H$48:$M$48,0))</f>
        <v>0.8</v>
      </c>
      <c r="J16" s="51" t="s">
        <v>51</v>
      </c>
      <c r="K16" s="53">
        <f>'Sabine + NorrisEyring'!D25</f>
        <v>14.82</v>
      </c>
      <c r="L16" s="53">
        <f>'Sabine + NorrisEyring'!E25</f>
        <v>29.15</v>
      </c>
      <c r="M16" s="53">
        <f>'Sabine + NorrisEyring'!F25</f>
        <v>40.25</v>
      </c>
      <c r="N16" s="53">
        <f>'Sabine + NorrisEyring'!G25</f>
        <v>47.25</v>
      </c>
      <c r="O16" s="53">
        <f>'Sabine + NorrisEyring'!H25</f>
        <v>46.05</v>
      </c>
      <c r="P16" s="53">
        <f>'Sabine + NorrisEyring'!I25</f>
        <v>42.400000000000006</v>
      </c>
    </row>
    <row r="17" spans="1:16" ht="19.5" customHeight="1" x14ac:dyDescent="0.35">
      <c r="A17" s="21" t="s">
        <v>0</v>
      </c>
      <c r="B17" s="115">
        <v>0</v>
      </c>
      <c r="C17" s="114">
        <f>INDEX(Properties!$H$49:$M$51, MATCH('RT60'!$A17,Properties!$A$49:$A$51,0),MATCH('RT60'!C$4,Properties!$H$48:$M$48,0))</f>
        <v>0</v>
      </c>
      <c r="D17" s="114">
        <f>INDEX(Properties!$H$49:$M$51, MATCH('RT60'!$A17,Properties!$A$49:$A$51,0),MATCH('RT60'!D$4,Properties!$H$48:$M$48,0))</f>
        <v>0</v>
      </c>
      <c r="E17" s="114">
        <f>INDEX(Properties!$H$49:$M$51, MATCH('RT60'!$A17,Properties!$A$49:$A$51,0),MATCH('RT60'!E$4,Properties!$H$48:$M$48,0))</f>
        <v>0</v>
      </c>
      <c r="F17" s="114">
        <f>INDEX(Properties!$H$49:$M$51, MATCH('RT60'!$A17,Properties!$A$49:$A$51,0),MATCH('RT60'!F$4,Properties!$H$48:$M$48,0))</f>
        <v>0</v>
      </c>
      <c r="G17" s="114">
        <f>INDEX(Properties!$H$49:$M$51, MATCH('RT60'!$A17,Properties!$A$49:$A$51,0),MATCH('RT60'!G$4,Properties!$H$48:$M$48,0))</f>
        <v>0</v>
      </c>
      <c r="H17" s="114">
        <f>INDEX(Properties!$H$49:$M$51, MATCH('RT60'!$A17,Properties!$A$49:$A$51,0),MATCH('RT60'!H$4,Properties!$H$48:$M$48,0))</f>
        <v>0</v>
      </c>
      <c r="J17" s="51" t="s">
        <v>52</v>
      </c>
      <c r="K17" s="53">
        <f>'Sabine + NorrisEyring'!D26</f>
        <v>15.107827414667444</v>
      </c>
      <c r="L17" s="53">
        <f>'Sabine + NorrisEyring'!E26</f>
        <v>30.789552591695909</v>
      </c>
      <c r="M17" s="53">
        <f>'Sabine + NorrisEyring'!F26</f>
        <v>44.701346517421044</v>
      </c>
      <c r="N17" s="53">
        <f>'Sabine + NorrisEyring'!G26</f>
        <v>54.379483487608816</v>
      </c>
      <c r="O17" s="53">
        <f>'Sabine + NorrisEyring'!H26</f>
        <v>53.114864240174327</v>
      </c>
      <c r="P17" s="53">
        <f>'Sabine + NorrisEyring'!I26</f>
        <v>48.572250689383004</v>
      </c>
    </row>
    <row r="18" spans="1:16" ht="22.5" customHeight="1" x14ac:dyDescent="0.35">
      <c r="A18" s="21" t="s">
        <v>0</v>
      </c>
      <c r="B18" s="113">
        <v>0</v>
      </c>
      <c r="C18" s="114">
        <v>0</v>
      </c>
      <c r="D18" s="114">
        <v>0</v>
      </c>
      <c r="E18" s="114">
        <v>0</v>
      </c>
      <c r="F18" s="114">
        <v>0</v>
      </c>
      <c r="G18" s="114">
        <v>0</v>
      </c>
      <c r="H18" s="114">
        <v>0</v>
      </c>
      <c r="J18" s="51" t="s">
        <v>53</v>
      </c>
      <c r="K18" s="53">
        <f>'Sette-Millington'!C24</f>
        <v>16.870106878621783</v>
      </c>
      <c r="L18" s="53">
        <f>'Sette-Millington'!D24</f>
        <v>37.305197580028398</v>
      </c>
      <c r="M18" s="53">
        <f>'Sette-Millington'!E24</f>
        <v>65.589316919582117</v>
      </c>
      <c r="N18" s="53">
        <f>'Sette-Millington'!F24</f>
        <v>96.578175194366963</v>
      </c>
      <c r="O18" s="53">
        <f>'Sette-Millington'!G24</f>
        <v>94.097375664414528</v>
      </c>
      <c r="P18" s="53">
        <f>'Sette-Millington'!H24</f>
        <v>85.209392564623727</v>
      </c>
    </row>
    <row r="19" spans="1:16" ht="23.5" customHeight="1" x14ac:dyDescent="0.35">
      <c r="A19" s="21" t="s">
        <v>0</v>
      </c>
      <c r="B19" s="113">
        <v>0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</row>
    <row r="20" spans="1:16" ht="19.149999999999999" customHeight="1" x14ac:dyDescent="0.35">
      <c r="B20" s="7"/>
      <c r="K20" s="124" t="s">
        <v>83</v>
      </c>
      <c r="L20" s="124"/>
      <c r="M20" s="124"/>
      <c r="N20" s="124"/>
      <c r="O20" s="124"/>
      <c r="P20" s="124"/>
    </row>
    <row r="21" spans="1:16" ht="31.9" customHeight="1" x14ac:dyDescent="0.35">
      <c r="B21" s="21" t="s">
        <v>63</v>
      </c>
      <c r="C21" s="23" t="s">
        <v>64</v>
      </c>
      <c r="D21" s="23" t="s">
        <v>65</v>
      </c>
      <c r="E21" s="10"/>
      <c r="K21" s="49" t="s">
        <v>77</v>
      </c>
      <c r="L21" s="49" t="s">
        <v>34</v>
      </c>
      <c r="M21" s="49" t="s">
        <v>35</v>
      </c>
      <c r="N21" s="49" t="s">
        <v>36</v>
      </c>
      <c r="O21" s="49" t="s">
        <v>37</v>
      </c>
      <c r="P21" s="49" t="s">
        <v>38</v>
      </c>
    </row>
    <row r="22" spans="1:16" ht="22.9" customHeight="1" x14ac:dyDescent="0.35">
      <c r="B22" s="22"/>
      <c r="C22" s="114">
        <v>30</v>
      </c>
      <c r="D22" s="114">
        <v>25</v>
      </c>
      <c r="E22" s="10"/>
      <c r="K22" s="54">
        <f>'Air absorption'!I5</f>
        <v>0</v>
      </c>
      <c r="L22" s="54">
        <f>'Air absorption'!J5</f>
        <v>0</v>
      </c>
      <c r="M22" s="54">
        <f>'Air absorption'!K5</f>
        <v>0</v>
      </c>
      <c r="N22" s="54">
        <f>'Air absorption'!L5</f>
        <v>0</v>
      </c>
      <c r="O22" s="53">
        <f>'Air absorption'!M5</f>
        <v>3.2832000000000003</v>
      </c>
      <c r="P22" s="53">
        <f>'Air absorption'!N5</f>
        <v>8.1216000000000008</v>
      </c>
    </row>
    <row r="23" spans="1:16" ht="22.9" customHeight="1" x14ac:dyDescent="0.35"/>
    <row r="24" spans="1:16" ht="26.5" customHeight="1" x14ac:dyDescent="0.35">
      <c r="C24" s="84" t="s">
        <v>33</v>
      </c>
      <c r="D24" s="84" t="s">
        <v>34</v>
      </c>
      <c r="E24" s="84" t="s">
        <v>35</v>
      </c>
      <c r="F24" s="84" t="s">
        <v>36</v>
      </c>
      <c r="G24" s="84" t="s">
        <v>37</v>
      </c>
      <c r="H24" s="84" t="s">
        <v>38</v>
      </c>
    </row>
    <row r="25" spans="1:16" ht="21" customHeight="1" x14ac:dyDescent="0.35">
      <c r="A25" s="122" t="s">
        <v>92</v>
      </c>
      <c r="B25" s="123"/>
      <c r="C25" s="114">
        <v>1</v>
      </c>
      <c r="D25" s="114">
        <v>1</v>
      </c>
      <c r="E25" s="114">
        <v>1</v>
      </c>
      <c r="F25" s="114">
        <v>1</v>
      </c>
      <c r="G25" s="114">
        <v>1</v>
      </c>
      <c r="H25" s="114">
        <v>1</v>
      </c>
    </row>
    <row r="26" spans="1:16" ht="21" customHeight="1" x14ac:dyDescent="0.35"/>
    <row r="27" spans="1:16" ht="21.65" customHeight="1" x14ac:dyDescent="0.35"/>
    <row r="30" spans="1:16" ht="33.65" customHeight="1" x14ac:dyDescent="0.35"/>
  </sheetData>
  <mergeCells count="9">
    <mergeCell ref="A25:B25"/>
    <mergeCell ref="K20:P20"/>
    <mergeCell ref="J1:X1"/>
    <mergeCell ref="S4:X4"/>
    <mergeCell ref="A1:H1"/>
    <mergeCell ref="K14:P14"/>
    <mergeCell ref="K10:P10"/>
    <mergeCell ref="K4:P4"/>
    <mergeCell ref="S13:X13"/>
  </mergeCells>
  <phoneticPr fontId="7" type="noConversion"/>
  <dataValidations count="3">
    <dataValidation type="list" allowBlank="1" showInputMessage="1" showErrorMessage="1" sqref="B22:B23" xr:uid="{00000000-0002-0000-0100-000000000000}">
      <formula1>"Y, N"</formula1>
    </dataValidation>
    <dataValidation type="list" allowBlank="1" showInputMessage="1" showErrorMessage="1" sqref="C22:C23" xr:uid="{00000000-0002-0000-0100-000001000000}">
      <formula1>"30, 50, 70"</formula1>
    </dataValidation>
    <dataValidation type="list" allowBlank="1" showInputMessage="1" showErrorMessage="1" sqref="D22:D23" xr:uid="{00000000-0002-0000-0100-000002000000}">
      <formula1>"15, 20, 25, 30"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3000000}">
          <x14:formula1>
            <xm:f>Properties!$A$2:$A$45</xm:f>
          </x14:formula1>
          <xm:sqref>A5:A13</xm:sqref>
        </x14:dataValidation>
        <x14:dataValidation type="list" allowBlank="1" showInputMessage="1" showErrorMessage="1" xr:uid="{00000000-0002-0000-0100-000004000000}">
          <x14:formula1>
            <xm:f>Properties!$A$48:$A$51</xm:f>
          </x14:formula1>
          <xm:sqref>A16:A18</xm:sqref>
        </x14:dataValidation>
        <x14:dataValidation type="list" allowBlank="1" showInputMessage="1" showErrorMessage="1" xr:uid="{00000000-0002-0000-0100-000005000000}">
          <x14:formula1>
            <xm:f>Properties!$A$50:$A$51</xm:f>
          </x14:formula1>
          <xm:sqref>A19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D7" sqref="D7"/>
    </sheetView>
  </sheetViews>
  <sheetFormatPr defaultRowHeight="14.5" x14ac:dyDescent="0.35"/>
  <cols>
    <col min="1" max="1" width="15.81640625" bestFit="1" customWidth="1"/>
    <col min="2" max="2" width="12.26953125" customWidth="1"/>
    <col min="3" max="3" width="15.1796875" customWidth="1"/>
    <col min="4" max="4" width="16.26953125" customWidth="1"/>
    <col min="5" max="5" width="12.7265625" customWidth="1"/>
  </cols>
  <sheetData>
    <row r="1" spans="1:5" ht="28.9" customHeight="1" x14ac:dyDescent="0.35">
      <c r="A1" s="97" t="s">
        <v>110</v>
      </c>
      <c r="B1" s="94" t="s">
        <v>119</v>
      </c>
      <c r="D1" s="93" t="s">
        <v>113</v>
      </c>
      <c r="E1" s="94" t="s">
        <v>119</v>
      </c>
    </row>
    <row r="2" spans="1:5" x14ac:dyDescent="0.35">
      <c r="A2" s="32" t="s">
        <v>105</v>
      </c>
      <c r="B2" s="32">
        <v>7.1</v>
      </c>
      <c r="D2" s="32" t="s">
        <v>106</v>
      </c>
      <c r="E2" s="32">
        <f>VLOOKUP(D2, A2:B6, 2,FALSE)</f>
        <v>4.5999999999999996</v>
      </c>
    </row>
    <row r="3" spans="1:5" ht="16.149999999999999" customHeight="1" x14ac:dyDescent="0.35">
      <c r="A3" s="32" t="s">
        <v>106</v>
      </c>
      <c r="B3" s="32">
        <v>4.5999999999999996</v>
      </c>
    </row>
    <row r="4" spans="1:5" x14ac:dyDescent="0.35">
      <c r="A4" s="32" t="s">
        <v>107</v>
      </c>
      <c r="B4" s="32">
        <v>7.5</v>
      </c>
      <c r="D4" s="2" t="s">
        <v>109</v>
      </c>
      <c r="E4" s="96">
        <f>('RT60'!B2/E2)</f>
        <v>75.130434782608702</v>
      </c>
    </row>
    <row r="5" spans="1:5" x14ac:dyDescent="0.35">
      <c r="A5" s="32" t="s">
        <v>108</v>
      </c>
      <c r="B5" s="32">
        <v>3.1</v>
      </c>
    </row>
    <row r="6" spans="1:5" x14ac:dyDescent="0.35">
      <c r="A6" s="32" t="s">
        <v>112</v>
      </c>
      <c r="B6" s="32">
        <v>2.8</v>
      </c>
      <c r="D6" s="24" t="s">
        <v>114</v>
      </c>
      <c r="E6" s="95" t="s">
        <v>118</v>
      </c>
    </row>
    <row r="7" spans="1:5" x14ac:dyDescent="0.35">
      <c r="D7" s="41" t="s">
        <v>115</v>
      </c>
      <c r="E7" s="41">
        <f>VLOOKUP(D7, A9:B11, 2,FALSE)</f>
        <v>4</v>
      </c>
    </row>
    <row r="8" spans="1:5" x14ac:dyDescent="0.35">
      <c r="A8" s="24" t="s">
        <v>114</v>
      </c>
      <c r="B8" s="95" t="s">
        <v>118</v>
      </c>
    </row>
    <row r="9" spans="1:5" x14ac:dyDescent="0.35">
      <c r="A9" s="41" t="s">
        <v>115</v>
      </c>
      <c r="B9" s="41">
        <v>4</v>
      </c>
    </row>
    <row r="10" spans="1:5" x14ac:dyDescent="0.35">
      <c r="A10" s="41" t="s">
        <v>116</v>
      </c>
      <c r="B10" s="41">
        <v>5</v>
      </c>
      <c r="D10" s="4" t="s">
        <v>111</v>
      </c>
      <c r="E10" s="85">
        <f>E7*(0.012*('RT60'!B2^(1/3))+0.107)</f>
        <v>0.76484684344212228</v>
      </c>
    </row>
    <row r="11" spans="1:5" x14ac:dyDescent="0.35">
      <c r="A11" s="41" t="s">
        <v>117</v>
      </c>
      <c r="B11" s="41">
        <v>6</v>
      </c>
    </row>
  </sheetData>
  <dataValidations count="2">
    <dataValidation type="list" allowBlank="1" showInputMessage="1" showErrorMessage="1" sqref="D2" xr:uid="{00000000-0002-0000-0600-000000000000}">
      <formula1>$A$2:$A$6</formula1>
    </dataValidation>
    <dataValidation type="list" allowBlank="1" showInputMessage="1" showErrorMessage="1" sqref="D7" xr:uid="{00000000-0002-0000-0600-000001000000}">
      <formula1>$A$9:$A$11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"/>
  <sheetViews>
    <sheetView zoomScale="87" zoomScaleNormal="87" workbookViewId="0">
      <selection activeCell="B19" sqref="B19"/>
    </sheetView>
  </sheetViews>
  <sheetFormatPr defaultRowHeight="14.5" x14ac:dyDescent="0.35"/>
  <cols>
    <col min="2" max="2" width="20.7265625" customWidth="1"/>
    <col min="3" max="3" width="11.7265625" customWidth="1"/>
    <col min="10" max="10" width="4.7265625" customWidth="1"/>
    <col min="11" max="11" width="13.81640625" customWidth="1"/>
    <col min="12" max="12" width="12" customWidth="1"/>
    <col min="13" max="13" width="11.54296875" bestFit="1" customWidth="1"/>
  </cols>
  <sheetData>
    <row r="1" spans="1:19" ht="16.5" x14ac:dyDescent="0.35">
      <c r="B1" s="6" t="s">
        <v>44</v>
      </c>
      <c r="C1" s="2" t="s">
        <v>49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M1" s="138" t="s">
        <v>48</v>
      </c>
      <c r="N1" s="138"/>
      <c r="O1" s="138"/>
      <c r="P1" s="138"/>
      <c r="Q1" s="138"/>
      <c r="R1" s="138"/>
      <c r="S1" s="138"/>
    </row>
    <row r="2" spans="1:19" ht="15.65" customHeight="1" x14ac:dyDescent="0.35">
      <c r="B2" s="2" t="str">
        <f>'RT60'!A5</f>
        <v>Acoustic plaster (approximate)</v>
      </c>
      <c r="C2" s="34">
        <v>10</v>
      </c>
      <c r="D2" s="2">
        <f>'RT60'!C5</f>
        <v>7.0000000000000007E-2</v>
      </c>
      <c r="E2" s="2">
        <f>'RT60'!D5</f>
        <v>0.17</v>
      </c>
      <c r="F2" s="2">
        <f>'RT60'!E5</f>
        <v>0.4</v>
      </c>
      <c r="G2" s="2">
        <f>'RT60'!F5</f>
        <v>0.55000000000000004</v>
      </c>
      <c r="H2" s="2">
        <f>'RT60'!G5</f>
        <v>0.65</v>
      </c>
      <c r="I2" s="2">
        <f>'RT60'!H5</f>
        <v>0.65</v>
      </c>
      <c r="M2" s="4"/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</row>
    <row r="3" spans="1:19" ht="14.5" customHeight="1" x14ac:dyDescent="0.35">
      <c r="B3" s="2" t="str">
        <f>'RT60'!A6</f>
        <v>Concrete (sealed or painted)</v>
      </c>
      <c r="C3" s="34">
        <f>'RT60'!B6</f>
        <v>0</v>
      </c>
      <c r="D3" s="2">
        <f>'RT60'!C6</f>
        <v>0.01</v>
      </c>
      <c r="E3" s="2">
        <f>'RT60'!D6</f>
        <v>0.02</v>
      </c>
      <c r="F3" s="2">
        <f>'RT60'!E6</f>
        <v>0.02</v>
      </c>
      <c r="G3" s="2">
        <f>'RT60'!F6</f>
        <v>0.02</v>
      </c>
      <c r="H3" s="2">
        <f>'RT60'!G6</f>
        <v>0.02</v>
      </c>
      <c r="I3" s="2">
        <f>'RT60'!H6</f>
        <v>0.02</v>
      </c>
      <c r="K3" s="74" t="s">
        <v>72</v>
      </c>
      <c r="L3" s="75"/>
      <c r="M3" s="82" t="s">
        <v>51</v>
      </c>
      <c r="N3" s="83">
        <f>0.161*'RT60'!$B2/'Sabine + NorrisEyring'!D25</f>
        <v>3.7544939271255062</v>
      </c>
      <c r="O3" s="83">
        <f>0.161*'RT60'!$B2/'Sabine + NorrisEyring'!E25</f>
        <v>1.9088027444253861</v>
      </c>
      <c r="P3" s="83">
        <f>0.161*'RT60'!$B2/'Sabine + NorrisEyring'!F25</f>
        <v>1.3824000000000001</v>
      </c>
      <c r="Q3" s="83">
        <f>0.161*'RT60'!$B2/'Sabine + NorrisEyring'!G25</f>
        <v>1.1776</v>
      </c>
      <c r="R3" s="83">
        <f>0.161*'RT60'!$B2/'Sabine + NorrisEyring'!H25</f>
        <v>1.2082866449511402</v>
      </c>
      <c r="S3" s="83">
        <f>0.161*'RT60'!$B2/'Sabine + NorrisEyring'!I25</f>
        <v>1.3123018867924527</v>
      </c>
    </row>
    <row r="4" spans="1:19" ht="14.5" customHeight="1" x14ac:dyDescent="0.35">
      <c r="B4" s="2" t="str">
        <f>'RT60'!A7</f>
        <v>Fiberglass, 2 in. on rigid backing</v>
      </c>
      <c r="C4" s="34">
        <f>'RT60'!B7</f>
        <v>22</v>
      </c>
      <c r="D4" s="35">
        <f>'RT60'!C7</f>
        <v>0.21</v>
      </c>
      <c r="E4" s="35">
        <f>'RT60'!D7</f>
        <v>0.5</v>
      </c>
      <c r="F4" s="35">
        <f>'RT60'!E7</f>
        <v>0.75</v>
      </c>
      <c r="G4" s="35">
        <f>'RT60'!F7</f>
        <v>0.9</v>
      </c>
      <c r="H4" s="35">
        <f>'RT60'!G7</f>
        <v>0.85</v>
      </c>
      <c r="I4" s="35">
        <f>'RT60'!H7</f>
        <v>0.8</v>
      </c>
      <c r="K4" s="61"/>
      <c r="L4" s="76"/>
      <c r="M4" s="77"/>
      <c r="N4" s="78"/>
      <c r="O4" s="78"/>
      <c r="P4" s="78"/>
      <c r="Q4" s="78"/>
      <c r="R4" s="78"/>
      <c r="S4" s="78"/>
    </row>
    <row r="5" spans="1:19" ht="15.65" customHeight="1" x14ac:dyDescent="0.35">
      <c r="B5" s="2" t="str">
        <f>'RT60'!A8</f>
        <v>Floor, linoleum, flexible tile, on concrete</v>
      </c>
      <c r="C5" s="34">
        <f>'RT60'!B8</f>
        <v>35</v>
      </c>
      <c r="D5" s="35">
        <f>'RT60'!C8</f>
        <v>0.02</v>
      </c>
      <c r="E5" s="35">
        <f>'RT60'!D8</f>
        <v>0.03</v>
      </c>
      <c r="F5" s="35">
        <f>'RT60'!E8</f>
        <v>0.03</v>
      </c>
      <c r="G5" s="35">
        <f>'RT60'!F8</f>
        <v>0.03</v>
      </c>
      <c r="H5" s="35">
        <f>'RT60'!G8</f>
        <v>0.03</v>
      </c>
      <c r="I5" s="35">
        <f>'RT60'!H8</f>
        <v>0.02</v>
      </c>
      <c r="K5" s="61"/>
      <c r="L5" s="79"/>
      <c r="M5" s="80"/>
      <c r="N5" s="81"/>
      <c r="O5" s="81"/>
      <c r="P5" s="81"/>
      <c r="Q5" s="81"/>
      <c r="R5" s="81"/>
      <c r="S5" s="81"/>
    </row>
    <row r="6" spans="1:19" ht="14.5" customHeight="1" x14ac:dyDescent="0.35">
      <c r="B6" s="2" t="str">
        <f>'RT60'!A9</f>
        <v>Marble or glazed tile</v>
      </c>
      <c r="C6" s="34">
        <f>'RT60'!B9</f>
        <v>0</v>
      </c>
      <c r="D6" s="35">
        <f>'RT60'!C9</f>
        <v>0.01</v>
      </c>
      <c r="E6" s="35">
        <f>'RT60'!D9</f>
        <v>0.01</v>
      </c>
      <c r="F6" s="35">
        <f>'RT60'!E9</f>
        <v>0.01</v>
      </c>
      <c r="G6" s="35">
        <f>'RT60'!F9</f>
        <v>0.01</v>
      </c>
      <c r="H6" s="35">
        <f>'RT60'!G9</f>
        <v>0.02</v>
      </c>
      <c r="I6" s="35">
        <f>'RT60'!H9</f>
        <v>0.02</v>
      </c>
      <c r="K6" s="59" t="s">
        <v>71</v>
      </c>
      <c r="L6" s="62"/>
      <c r="M6" s="82" t="s">
        <v>52</v>
      </c>
      <c r="N6" s="83">
        <f>0.161*'RT60'!$B2/'Sabine + NorrisEyring'!D26</f>
        <v>3.6829650268562322</v>
      </c>
      <c r="O6" s="83">
        <f>0.161*'RT60'!$B2/'Sabine + NorrisEyring'!E26</f>
        <v>1.8071584455243697</v>
      </c>
      <c r="P6" s="83">
        <f>0.161*'RT60'!$B2/'Sabine + NorrisEyring'!F26</f>
        <v>1.2447410276179336</v>
      </c>
      <c r="Q6" s="83">
        <f>0.161*'RT60'!$B2/'Sabine + NorrisEyring'!G26</f>
        <v>1.0232094244271146</v>
      </c>
      <c r="R6" s="83">
        <f>0.161*'RT60'!$B2/'Sabine + NorrisEyring'!H26</f>
        <v>1.0475711610294305</v>
      </c>
      <c r="S6" s="83">
        <f>0.161*'RT60'!$B2/'Sabine + NorrisEyring'!I26</f>
        <v>1.14554296352922</v>
      </c>
    </row>
    <row r="7" spans="1:19" ht="14.5" customHeight="1" x14ac:dyDescent="0.35">
      <c r="B7" s="2" t="str">
        <f>'RT60'!A10</f>
        <v>wooden walls, 2 in.</v>
      </c>
      <c r="C7" s="34">
        <f>'RT60'!B10</f>
        <v>0</v>
      </c>
      <c r="D7" s="42">
        <f>'RT60'!C10</f>
        <v>0.14000000000000001</v>
      </c>
      <c r="E7" s="42">
        <f>'RT60'!D10</f>
        <v>0.1</v>
      </c>
      <c r="F7" s="42">
        <f>'RT60'!E10</f>
        <v>7.0000000000000007E-2</v>
      </c>
      <c r="G7" s="42">
        <f>'RT60'!F10</f>
        <v>0.05</v>
      </c>
      <c r="H7" s="42">
        <f>'RT60'!G10</f>
        <v>0.05</v>
      </c>
      <c r="I7" s="42">
        <f>'RT60'!H10</f>
        <v>0.05</v>
      </c>
      <c r="K7" s="60"/>
      <c r="L7" s="63"/>
      <c r="M7" s="77"/>
      <c r="N7" s="78"/>
      <c r="O7" s="78"/>
      <c r="P7" s="78"/>
      <c r="Q7" s="78"/>
      <c r="R7" s="78"/>
      <c r="S7" s="78"/>
    </row>
    <row r="8" spans="1:19" ht="15.5" x14ac:dyDescent="0.35">
      <c r="B8" s="2" t="str">
        <f>'RT60'!A11</f>
        <v>Marble or glazed tile</v>
      </c>
      <c r="C8" s="34">
        <f>'RT60'!B11</f>
        <v>0</v>
      </c>
      <c r="D8" s="42">
        <f>'RT60'!C11</f>
        <v>0.01</v>
      </c>
      <c r="E8" s="42">
        <f>'RT60'!D11</f>
        <v>0.01</v>
      </c>
      <c r="F8" s="42">
        <f>'RT60'!E11</f>
        <v>0.01</v>
      </c>
      <c r="G8" s="42">
        <f>'RT60'!F11</f>
        <v>0.01</v>
      </c>
      <c r="H8" s="42">
        <f>'RT60'!G11</f>
        <v>0.02</v>
      </c>
      <c r="I8" s="42">
        <f>'RT60'!H11</f>
        <v>0.02</v>
      </c>
      <c r="K8" s="64"/>
      <c r="L8" s="65"/>
      <c r="M8" s="80"/>
      <c r="N8" s="81"/>
      <c r="O8" s="81"/>
      <c r="P8" s="81"/>
      <c r="Q8" s="81"/>
      <c r="R8" s="81"/>
      <c r="S8" s="81"/>
    </row>
    <row r="9" spans="1:19" x14ac:dyDescent="0.35">
      <c r="B9" s="2" t="str">
        <f>'RT60'!A12</f>
        <v>Concrete block, painted</v>
      </c>
      <c r="C9" s="34">
        <f>'RT60'!B12</f>
        <v>0</v>
      </c>
      <c r="D9" s="42">
        <f>'RT60'!C12</f>
        <v>0.1</v>
      </c>
      <c r="E9" s="42">
        <f>'RT60'!D12</f>
        <v>0.05</v>
      </c>
      <c r="F9" s="42">
        <f>'RT60'!E12</f>
        <v>0.06</v>
      </c>
      <c r="G9" s="42">
        <f>'RT60'!F12</f>
        <v>7.0000000000000007E-2</v>
      </c>
      <c r="H9" s="42">
        <f>'RT60'!G12</f>
        <v>0.09</v>
      </c>
      <c r="I9" s="42">
        <f>'RT60'!H12</f>
        <v>0.08</v>
      </c>
    </row>
    <row r="10" spans="1:19" x14ac:dyDescent="0.35">
      <c r="B10" s="2" t="str">
        <f>'RT60'!A13</f>
        <v>Concrete block, painted</v>
      </c>
      <c r="C10" s="34">
        <f>'RT60'!B13</f>
        <v>0</v>
      </c>
      <c r="D10" s="42">
        <f>'RT60'!C13</f>
        <v>0.1</v>
      </c>
      <c r="E10" s="42">
        <f>'RT60'!D13</f>
        <v>0.05</v>
      </c>
      <c r="F10" s="42">
        <f>'RT60'!E13</f>
        <v>0.06</v>
      </c>
      <c r="G10" s="42">
        <f>'RT60'!F13</f>
        <v>7.0000000000000007E-2</v>
      </c>
      <c r="H10" s="42">
        <f>'RT60'!G13</f>
        <v>0.09</v>
      </c>
      <c r="I10" s="42">
        <f>'RT60'!H13</f>
        <v>0.08</v>
      </c>
    </row>
    <row r="11" spans="1:19" x14ac:dyDescent="0.35">
      <c r="B11" s="12" t="s">
        <v>61</v>
      </c>
      <c r="C11" s="34">
        <f>SUM(C2:C10)</f>
        <v>67</v>
      </c>
      <c r="D11" s="135"/>
      <c r="E11" s="136"/>
      <c r="F11" s="136"/>
      <c r="G11" s="136"/>
      <c r="H11" s="136"/>
      <c r="I11" s="137"/>
    </row>
    <row r="13" spans="1:19" x14ac:dyDescent="0.35">
      <c r="A13" s="13" t="s">
        <v>56</v>
      </c>
      <c r="B13" s="14"/>
      <c r="C13" s="43" t="s">
        <v>50</v>
      </c>
      <c r="D13" s="9">
        <f>D15/SUM($C2:$C10)</f>
        <v>8.9850746268656717E-2</v>
      </c>
      <c r="E13" s="9">
        <f>E15/SUM($C2:$C10)</f>
        <v>0.20522388059701493</v>
      </c>
      <c r="F13" s="9">
        <f t="shared" ref="F13:I13" si="0">F15/SUM($C2:$C10)</f>
        <v>0.32164179104477614</v>
      </c>
      <c r="G13" s="9">
        <f t="shared" si="0"/>
        <v>0.39328358208955227</v>
      </c>
      <c r="H13" s="9">
        <f t="shared" si="0"/>
        <v>0.39179104477611942</v>
      </c>
      <c r="I13" s="9">
        <f t="shared" si="0"/>
        <v>0.37014925373134328</v>
      </c>
    </row>
    <row r="14" spans="1:19" x14ac:dyDescent="0.35">
      <c r="D14" s="16"/>
      <c r="E14" s="16"/>
      <c r="F14" s="16"/>
      <c r="G14" s="16"/>
      <c r="H14" s="16"/>
      <c r="I14" s="16"/>
    </row>
    <row r="15" spans="1:19" ht="48" customHeight="1" x14ac:dyDescent="0.35">
      <c r="A15" s="89" t="s">
        <v>86</v>
      </c>
      <c r="B15" s="91"/>
      <c r="C15" s="33" t="s">
        <v>60</v>
      </c>
      <c r="D15" s="36">
        <f>SUMPRODUCT($C2:$C10,D2:D10)</f>
        <v>6.0200000000000005</v>
      </c>
      <c r="E15" s="36">
        <f>SUMPRODUCT($C2:$C10,E2:E10)</f>
        <v>13.75</v>
      </c>
      <c r="F15" s="36">
        <f t="shared" ref="F15:I15" si="1">SUMPRODUCT($C2:$C10,F2:F10)</f>
        <v>21.55</v>
      </c>
      <c r="G15" s="36">
        <f t="shared" si="1"/>
        <v>26.35</v>
      </c>
      <c r="H15" s="36">
        <f t="shared" si="1"/>
        <v>26.25</v>
      </c>
      <c r="I15" s="36">
        <f t="shared" si="1"/>
        <v>24.8</v>
      </c>
    </row>
    <row r="16" spans="1:19" ht="66.75" customHeight="1" x14ac:dyDescent="0.35">
      <c r="B16" s="88" t="s">
        <v>85</v>
      </c>
      <c r="C16" s="33" t="s">
        <v>62</v>
      </c>
      <c r="D16" s="36">
        <f>-$C11*LN(1-D13)</f>
        <v>6.307827414667444</v>
      </c>
      <c r="E16" s="36">
        <f>-$C11*LN(1-E13)</f>
        <v>15.389552591695912</v>
      </c>
      <c r="F16" s="36">
        <f t="shared" ref="F16:I16" si="2">-$C11*LN(1-F13)</f>
        <v>26.001346517421048</v>
      </c>
      <c r="G16" s="36">
        <f t="shared" si="2"/>
        <v>33.479483487608817</v>
      </c>
      <c r="H16" s="36">
        <f t="shared" si="2"/>
        <v>33.31486424017433</v>
      </c>
      <c r="I16" s="36">
        <f t="shared" si="2"/>
        <v>30.972250689383003</v>
      </c>
    </row>
    <row r="17" spans="2:10" x14ac:dyDescent="0.35">
      <c r="D17" t="s">
        <v>57</v>
      </c>
    </row>
    <row r="18" spans="2:10" ht="29" x14ac:dyDescent="0.35">
      <c r="B18" s="6" t="s">
        <v>45</v>
      </c>
      <c r="C18" s="5" t="s">
        <v>43</v>
      </c>
      <c r="D18" s="2"/>
      <c r="E18" s="2"/>
      <c r="F18" s="2"/>
      <c r="G18" s="2"/>
      <c r="H18" s="2"/>
      <c r="I18" s="2"/>
    </row>
    <row r="19" spans="2:10" x14ac:dyDescent="0.35">
      <c r="B19" s="2" t="str">
        <f>'RT60'!A16</f>
        <v>Single person or heavily upholstered seat(± 0.10        )</v>
      </c>
      <c r="C19" s="12">
        <f>'RT60'!B16</f>
        <v>22</v>
      </c>
      <c r="D19" s="2">
        <f>'RT60'!C16</f>
        <v>0.4</v>
      </c>
      <c r="E19" s="2">
        <f>'RT60'!D16</f>
        <v>0.7</v>
      </c>
      <c r="F19" s="2">
        <f>'RT60'!E16</f>
        <v>0.85</v>
      </c>
      <c r="G19" s="2">
        <f>'RT60'!F16</f>
        <v>0.95</v>
      </c>
      <c r="H19" s="2">
        <f>'RT60'!G16</f>
        <v>0.9</v>
      </c>
      <c r="I19" s="2">
        <f>'RT60'!H16</f>
        <v>0.8</v>
      </c>
    </row>
    <row r="20" spans="2:10" x14ac:dyDescent="0.35">
      <c r="B20" s="2" t="str">
        <f>'RT60'!A17</f>
        <v>Description</v>
      </c>
      <c r="C20" s="12">
        <f>'RT60'!B17</f>
        <v>0</v>
      </c>
      <c r="D20" s="2">
        <f>'RT60'!C17</f>
        <v>0</v>
      </c>
      <c r="E20" s="2">
        <f>'RT60'!D17</f>
        <v>0</v>
      </c>
      <c r="F20" s="2">
        <f>'RT60'!E17</f>
        <v>0</v>
      </c>
      <c r="G20" s="2">
        <f>'RT60'!F17</f>
        <v>0</v>
      </c>
      <c r="H20" s="2">
        <f>'RT60'!G17</f>
        <v>0</v>
      </c>
      <c r="I20" s="2">
        <f>'RT60'!H17</f>
        <v>0</v>
      </c>
    </row>
    <row r="21" spans="2:10" x14ac:dyDescent="0.35">
      <c r="B21" s="2" t="str">
        <f>'RT60'!A18</f>
        <v>Description</v>
      </c>
      <c r="C21" s="12">
        <f>'RT60'!B18</f>
        <v>0</v>
      </c>
      <c r="D21" s="2">
        <f>'RT60'!C18</f>
        <v>0</v>
      </c>
      <c r="E21" s="2">
        <f>'RT60'!D18</f>
        <v>0</v>
      </c>
      <c r="F21" s="2">
        <f>'RT60'!E18</f>
        <v>0</v>
      </c>
      <c r="G21" s="2">
        <f>'RT60'!F18</f>
        <v>0</v>
      </c>
      <c r="H21" s="2">
        <f>'RT60'!G18</f>
        <v>0</v>
      </c>
      <c r="I21" s="2">
        <f>'RT60'!H18</f>
        <v>0</v>
      </c>
    </row>
    <row r="22" spans="2:10" x14ac:dyDescent="0.35">
      <c r="J22" s="10"/>
    </row>
    <row r="23" spans="2:10" ht="29" x14ac:dyDescent="0.35">
      <c r="C23" s="33" t="s">
        <v>46</v>
      </c>
      <c r="D23" s="3">
        <f>SUMPRODUCT($C19:$C21,D19:D21)</f>
        <v>8.8000000000000007</v>
      </c>
      <c r="E23" s="3">
        <f>SUMPRODUCT($C19:$C21,E19:E21)</f>
        <v>15.399999999999999</v>
      </c>
      <c r="F23" s="3">
        <f>SUMPRODUCT($C19:$C21,F19:F21)</f>
        <v>18.7</v>
      </c>
      <c r="G23" s="3">
        <f t="shared" ref="G23:I23" si="3">SUMPRODUCT($C19:$C21,G19:G21)</f>
        <v>20.9</v>
      </c>
      <c r="H23" s="3">
        <f t="shared" si="3"/>
        <v>19.8</v>
      </c>
      <c r="I23" s="3">
        <f t="shared" si="3"/>
        <v>17.600000000000001</v>
      </c>
    </row>
    <row r="25" spans="2:10" ht="43.5" x14ac:dyDescent="0.35">
      <c r="C25" s="15" t="s">
        <v>58</v>
      </c>
      <c r="D25" s="55">
        <f>D15+D23</f>
        <v>14.82</v>
      </c>
      <c r="E25" s="55">
        <f>E15+E23</f>
        <v>29.15</v>
      </c>
      <c r="F25" s="55">
        <f>F15+F23</f>
        <v>40.25</v>
      </c>
      <c r="G25" s="55">
        <f t="shared" ref="G25:I25" si="4">G15+G23</f>
        <v>47.25</v>
      </c>
      <c r="H25" s="55">
        <f t="shared" si="4"/>
        <v>46.05</v>
      </c>
      <c r="I25" s="55">
        <f t="shared" si="4"/>
        <v>42.400000000000006</v>
      </c>
    </row>
    <row r="26" spans="2:10" ht="58" x14ac:dyDescent="0.35">
      <c r="C26" s="15" t="s">
        <v>59</v>
      </c>
      <c r="D26" s="56">
        <f>D16+D23</f>
        <v>15.107827414667444</v>
      </c>
      <c r="E26" s="56">
        <f t="shared" ref="E26:I26" si="5">E16+E23</f>
        <v>30.789552591695909</v>
      </c>
      <c r="F26" s="56">
        <f t="shared" si="5"/>
        <v>44.701346517421044</v>
      </c>
      <c r="G26" s="56">
        <f t="shared" si="5"/>
        <v>54.379483487608816</v>
      </c>
      <c r="H26" s="56">
        <f t="shared" si="5"/>
        <v>53.114864240174327</v>
      </c>
      <c r="I26" s="56">
        <f t="shared" si="5"/>
        <v>48.572250689383004</v>
      </c>
    </row>
    <row r="28" spans="2:10" x14ac:dyDescent="0.35">
      <c r="C28" s="58"/>
      <c r="D28" s="57"/>
      <c r="E28" s="57"/>
      <c r="F28" s="57"/>
      <c r="G28" s="57"/>
      <c r="H28" s="57"/>
      <c r="I28" s="57"/>
    </row>
    <row r="29" spans="2:10" x14ac:dyDescent="0.35">
      <c r="C29" s="58"/>
    </row>
  </sheetData>
  <mergeCells count="2">
    <mergeCell ref="D11:I11"/>
    <mergeCell ref="M1:S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workbookViewId="0">
      <selection activeCell="H2" sqref="H2"/>
    </sheetView>
  </sheetViews>
  <sheetFormatPr defaultRowHeight="14.5" x14ac:dyDescent="0.35"/>
  <cols>
    <col min="1" max="1" width="11" customWidth="1"/>
    <col min="2" max="2" width="5.1796875" customWidth="1"/>
    <col min="3" max="3" width="7.453125" bestFit="1" customWidth="1"/>
    <col min="4" max="4" width="7" bestFit="1" customWidth="1"/>
    <col min="5" max="7" width="7.453125" bestFit="1" customWidth="1"/>
    <col min="8" max="8" width="10.26953125" customWidth="1"/>
  </cols>
  <sheetData>
    <row r="1" spans="1:21" x14ac:dyDescent="0.35">
      <c r="A1" s="25" t="s">
        <v>70</v>
      </c>
      <c r="B1" s="139">
        <v>2000</v>
      </c>
      <c r="C1" s="139"/>
      <c r="D1" s="139"/>
      <c r="E1" s="139"/>
      <c r="F1" s="139"/>
      <c r="H1" s="30" t="s">
        <v>73</v>
      </c>
      <c r="I1" s="47" t="s">
        <v>74</v>
      </c>
      <c r="L1" s="143" t="s">
        <v>93</v>
      </c>
      <c r="M1" s="28" t="s">
        <v>37</v>
      </c>
      <c r="N1" s="29" t="s">
        <v>38</v>
      </c>
    </row>
    <row r="2" spans="1:21" x14ac:dyDescent="0.35">
      <c r="A2" s="3" t="s">
        <v>75</v>
      </c>
      <c r="B2" s="3"/>
      <c r="C2" s="3">
        <v>15</v>
      </c>
      <c r="D2" s="3">
        <v>20</v>
      </c>
      <c r="E2" s="3">
        <v>25</v>
      </c>
      <c r="F2" s="3">
        <v>30</v>
      </c>
      <c r="H2" s="41">
        <v>50</v>
      </c>
      <c r="I2" s="22">
        <v>25</v>
      </c>
      <c r="L2" s="144"/>
      <c r="M2" s="102">
        <f>INDEX(C3:F5,MATCH(H2,B3:B5,0),MATCH(I2,C2:F2,0))</f>
        <v>9.4999999999999998E-3</v>
      </c>
      <c r="N2" s="103">
        <f>INDEX(C10:F12,MATCH(H2,B10:B12,0),MATCH(I2,C9:F9,0))</f>
        <v>2.35E-2</v>
      </c>
    </row>
    <row r="3" spans="1:21" x14ac:dyDescent="0.35">
      <c r="A3" s="24" t="s">
        <v>76</v>
      </c>
      <c r="B3" s="24">
        <v>30</v>
      </c>
      <c r="C3" s="17">
        <v>1.43E-2</v>
      </c>
      <c r="D3" s="17">
        <v>1.1900000000000001E-2</v>
      </c>
      <c r="E3" s="17">
        <v>1.14E-2</v>
      </c>
      <c r="F3" s="17">
        <v>2.81E-2</v>
      </c>
      <c r="P3" s="138" t="s">
        <v>48</v>
      </c>
      <c r="Q3" s="138"/>
      <c r="R3" s="138"/>
      <c r="S3" s="138"/>
      <c r="T3" s="138"/>
      <c r="U3" s="138"/>
    </row>
    <row r="4" spans="1:21" x14ac:dyDescent="0.35">
      <c r="A4" s="24" t="s">
        <v>76</v>
      </c>
      <c r="B4" s="24">
        <v>50</v>
      </c>
      <c r="C4" s="17">
        <v>9.9000000000000008E-3</v>
      </c>
      <c r="D4" s="17">
        <v>9.5999999999999992E-3</v>
      </c>
      <c r="E4" s="17">
        <v>9.4999999999999998E-3</v>
      </c>
      <c r="F4" s="17">
        <v>9.1999999999999998E-3</v>
      </c>
      <c r="H4" s="141" t="s">
        <v>55</v>
      </c>
      <c r="I4" s="27" t="s">
        <v>77</v>
      </c>
      <c r="J4" s="27" t="s">
        <v>34</v>
      </c>
      <c r="K4" s="27" t="s">
        <v>35</v>
      </c>
      <c r="L4" s="27" t="s">
        <v>36</v>
      </c>
      <c r="M4" s="27" t="s">
        <v>37</v>
      </c>
      <c r="N4" s="27" t="s">
        <v>38</v>
      </c>
      <c r="P4" s="27" t="s">
        <v>77</v>
      </c>
      <c r="Q4" s="27" t="s">
        <v>34</v>
      </c>
      <c r="R4" s="27" t="s">
        <v>35</v>
      </c>
      <c r="S4" s="27" t="s">
        <v>36</v>
      </c>
      <c r="T4" s="27" t="s">
        <v>37</v>
      </c>
      <c r="U4" s="27" t="s">
        <v>38</v>
      </c>
    </row>
    <row r="5" spans="1:21" x14ac:dyDescent="0.35">
      <c r="A5" s="24" t="s">
        <v>76</v>
      </c>
      <c r="B5" s="24">
        <v>70</v>
      </c>
      <c r="C5" s="17">
        <v>8.8000000000000005E-3</v>
      </c>
      <c r="D5" s="17">
        <v>8.5000000000000006E-3</v>
      </c>
      <c r="E5" s="17">
        <v>8.3999999999999995E-3</v>
      </c>
      <c r="F5" s="17">
        <v>8.2000000000000007E-3</v>
      </c>
      <c r="H5" s="142"/>
      <c r="I5" s="31">
        <v>0</v>
      </c>
      <c r="J5" s="31">
        <v>0</v>
      </c>
      <c r="K5" s="31">
        <v>0</v>
      </c>
      <c r="L5" s="31">
        <v>0</v>
      </c>
      <c r="M5" s="104">
        <f>M2*'RT60'!$B2</f>
        <v>3.2832000000000003</v>
      </c>
      <c r="N5" s="104">
        <f>N2*'RT60'!$B2</f>
        <v>8.1216000000000008</v>
      </c>
      <c r="P5" s="85">
        <f>0.161*'RT60'!$B2/('Air absorption'!I5+'Air absorption'!I9)</f>
        <v>3.7544939271255062</v>
      </c>
      <c r="Q5" s="85">
        <f>0.161*'RT60'!$B2/('Air absorption'!J5+'Air absorption'!J9)</f>
        <v>1.9088027444253861</v>
      </c>
      <c r="R5" s="85">
        <f>0.161*'RT60'!$B2/('Air absorption'!K5+'Air absorption'!K9)</f>
        <v>1.3824000000000001</v>
      </c>
      <c r="S5" s="85">
        <f>0.161*'RT60'!$B2/('Air absorption'!L5+'Air absorption'!L9)</f>
        <v>1.1776</v>
      </c>
      <c r="T5" s="85">
        <f>0.161*'RT60'!$B2/('Air absorption'!M5+'Air absorption'!M9)</f>
        <v>1.1278733185765368</v>
      </c>
      <c r="U5" s="85">
        <f>0.161*'RT60'!$B2/('Air absorption'!N5+'Air absorption'!N9)</f>
        <v>1.1013427919939194</v>
      </c>
    </row>
    <row r="6" spans="1:21" x14ac:dyDescent="0.35">
      <c r="C6" s="8"/>
    </row>
    <row r="7" spans="1:21" x14ac:dyDescent="0.35">
      <c r="C7" s="8"/>
    </row>
    <row r="8" spans="1:21" ht="14.5" customHeight="1" x14ac:dyDescent="0.35">
      <c r="A8" s="25" t="s">
        <v>70</v>
      </c>
      <c r="B8" s="139">
        <v>4000</v>
      </c>
      <c r="C8" s="139"/>
      <c r="D8" s="139"/>
      <c r="E8" s="139"/>
      <c r="F8" s="139"/>
      <c r="H8" s="140" t="s">
        <v>84</v>
      </c>
      <c r="I8" s="48" t="s">
        <v>77</v>
      </c>
      <c r="J8" s="48" t="s">
        <v>34</v>
      </c>
      <c r="K8" s="48" t="s">
        <v>35</v>
      </c>
      <c r="L8" s="48" t="s">
        <v>36</v>
      </c>
      <c r="M8" s="48" t="s">
        <v>37</v>
      </c>
      <c r="N8" s="48" t="s">
        <v>38</v>
      </c>
    </row>
    <row r="9" spans="1:21" x14ac:dyDescent="0.35">
      <c r="A9" s="3" t="s">
        <v>75</v>
      </c>
      <c r="B9" s="3"/>
      <c r="C9" s="3">
        <v>15</v>
      </c>
      <c r="D9" s="3">
        <v>20</v>
      </c>
      <c r="E9" s="3">
        <v>25</v>
      </c>
      <c r="F9" s="3">
        <v>30</v>
      </c>
      <c r="H9" s="140"/>
      <c r="I9" s="72">
        <f>'Sabine + NorrisEyring'!D25</f>
        <v>14.82</v>
      </c>
      <c r="J9" s="72">
        <f>'Sabine + NorrisEyring'!E25</f>
        <v>29.15</v>
      </c>
      <c r="K9" s="72">
        <f>'Sabine + NorrisEyring'!F25</f>
        <v>40.25</v>
      </c>
      <c r="L9" s="72">
        <f>'Sabine + NorrisEyring'!G25</f>
        <v>47.25</v>
      </c>
      <c r="M9" s="72">
        <f>'Sabine + NorrisEyring'!H25</f>
        <v>46.05</v>
      </c>
      <c r="N9" s="72">
        <f>'Sabine + NorrisEyring'!I25</f>
        <v>42.400000000000006</v>
      </c>
    </row>
    <row r="10" spans="1:21" x14ac:dyDescent="0.35">
      <c r="A10" s="24" t="s">
        <v>76</v>
      </c>
      <c r="B10" s="24">
        <v>30</v>
      </c>
      <c r="C10" s="17">
        <v>4.8599999999999997E-2</v>
      </c>
      <c r="D10" s="17">
        <v>3.7900000000000003E-2</v>
      </c>
      <c r="E10" s="17">
        <v>3.1300000000000001E-2</v>
      </c>
      <c r="F10" s="17">
        <v>2.81E-2</v>
      </c>
      <c r="H10" s="140"/>
      <c r="I10" s="73"/>
      <c r="J10" s="73"/>
      <c r="K10" s="73"/>
      <c r="L10" s="73"/>
      <c r="M10" s="73"/>
      <c r="N10" s="73"/>
    </row>
    <row r="11" spans="1:21" x14ac:dyDescent="0.35">
      <c r="A11" s="24" t="s">
        <v>76</v>
      </c>
      <c r="B11" s="24">
        <v>50</v>
      </c>
      <c r="C11" s="17">
        <v>2.86E-2</v>
      </c>
      <c r="D11" s="17">
        <v>2.4400000000000002E-2</v>
      </c>
      <c r="E11" s="17">
        <v>2.35E-2</v>
      </c>
      <c r="F11" s="17">
        <v>2.3300000000000001E-2</v>
      </c>
      <c r="H11" s="46"/>
    </row>
    <row r="12" spans="1:21" x14ac:dyDescent="0.35">
      <c r="A12" s="24" t="s">
        <v>76</v>
      </c>
      <c r="B12" s="24">
        <v>70</v>
      </c>
      <c r="C12" s="17">
        <v>2.23E-2</v>
      </c>
      <c r="D12" s="17">
        <v>2.1299999999999999E-2</v>
      </c>
      <c r="E12" s="17">
        <v>2.1100000000000001E-2</v>
      </c>
      <c r="F12" s="17">
        <v>2.07E-2</v>
      </c>
    </row>
    <row r="13" spans="1:21" x14ac:dyDescent="0.35">
      <c r="G13" s="8"/>
      <c r="H13" s="8"/>
    </row>
    <row r="14" spans="1:21" x14ac:dyDescent="0.35">
      <c r="G14" s="8"/>
      <c r="H14" s="8"/>
    </row>
    <row r="15" spans="1:21" x14ac:dyDescent="0.35">
      <c r="G15" s="8"/>
      <c r="H15" s="8"/>
    </row>
    <row r="16" spans="1:21" x14ac:dyDescent="0.35">
      <c r="G16" s="8"/>
      <c r="H16" s="8"/>
    </row>
    <row r="17" spans="7:8" x14ac:dyDescent="0.35">
      <c r="G17" s="8"/>
      <c r="H17" s="8"/>
    </row>
    <row r="20" spans="7:8" ht="15" customHeight="1" x14ac:dyDescent="0.35"/>
    <row r="22" spans="7:8" ht="14.5" customHeight="1" x14ac:dyDescent="0.35"/>
  </sheetData>
  <mergeCells count="6">
    <mergeCell ref="B8:F8"/>
    <mergeCell ref="H8:H10"/>
    <mergeCell ref="P3:U3"/>
    <mergeCell ref="H4:H5"/>
    <mergeCell ref="L1:L2"/>
    <mergeCell ref="B1:F1"/>
  </mergeCells>
  <dataValidations count="2">
    <dataValidation type="list" allowBlank="1" showInputMessage="1" showErrorMessage="1" sqref="H2" xr:uid="{00000000-0002-0000-0300-000000000000}">
      <formula1>"30, 50, 70"</formula1>
    </dataValidation>
    <dataValidation type="list" allowBlank="1" showInputMessage="1" showErrorMessage="1" sqref="I2" xr:uid="{00000000-0002-0000-0300-000001000000}">
      <formula1>"15,20,25,30"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4"/>
  <sheetViews>
    <sheetView zoomScale="86" zoomScaleNormal="86" workbookViewId="0">
      <selection activeCell="Q3" sqref="Q3"/>
    </sheetView>
  </sheetViews>
  <sheetFormatPr defaultRowHeight="14.5" x14ac:dyDescent="0.35"/>
  <cols>
    <col min="1" max="1" width="32.7265625" customWidth="1"/>
    <col min="2" max="2" width="11.54296875" customWidth="1"/>
  </cols>
  <sheetData>
    <row r="1" spans="1:17" ht="16.5" x14ac:dyDescent="0.35">
      <c r="A1" s="6" t="s">
        <v>44</v>
      </c>
      <c r="B1" s="2" t="s">
        <v>49</v>
      </c>
      <c r="C1" s="40" t="s">
        <v>82</v>
      </c>
      <c r="D1" s="40" t="s">
        <v>34</v>
      </c>
      <c r="E1" s="40" t="s">
        <v>35</v>
      </c>
      <c r="F1" s="40" t="s">
        <v>36</v>
      </c>
      <c r="G1" s="40" t="s">
        <v>37</v>
      </c>
      <c r="H1" s="40" t="s">
        <v>38</v>
      </c>
      <c r="L1" s="145" t="s">
        <v>48</v>
      </c>
      <c r="M1" s="146"/>
      <c r="N1" s="146"/>
      <c r="O1" s="146"/>
      <c r="P1" s="146"/>
      <c r="Q1" s="147"/>
    </row>
    <row r="2" spans="1:17" x14ac:dyDescent="0.35">
      <c r="A2" s="2" t="str">
        <f>'RT60'!A5</f>
        <v>Acoustic plaster (approximate)</v>
      </c>
      <c r="B2" s="12">
        <f>'RT60'!B5</f>
        <v>30</v>
      </c>
      <c r="C2" s="2">
        <f>'RT60'!C5</f>
        <v>7.0000000000000007E-2</v>
      </c>
      <c r="D2" s="2">
        <f>'RT60'!D5</f>
        <v>0.17</v>
      </c>
      <c r="E2" s="2">
        <f>'RT60'!E5</f>
        <v>0.4</v>
      </c>
      <c r="F2" s="2">
        <f>'RT60'!F5</f>
        <v>0.55000000000000004</v>
      </c>
      <c r="G2" s="2">
        <f>'RT60'!G5</f>
        <v>0.65</v>
      </c>
      <c r="H2" s="2">
        <f>'RT60'!H5</f>
        <v>0.65</v>
      </c>
      <c r="L2" s="27" t="s">
        <v>77</v>
      </c>
      <c r="M2" s="27" t="s">
        <v>34</v>
      </c>
      <c r="N2" s="27" t="s">
        <v>35</v>
      </c>
      <c r="O2" s="27" t="s">
        <v>36</v>
      </c>
      <c r="P2" s="27" t="s">
        <v>37</v>
      </c>
      <c r="Q2" s="27" t="s">
        <v>38</v>
      </c>
    </row>
    <row r="3" spans="1:17" x14ac:dyDescent="0.35">
      <c r="A3" s="2" t="str">
        <f>'RT60'!A6</f>
        <v>Concrete (sealed or painted)</v>
      </c>
      <c r="B3" s="12">
        <f>'RT60'!B6</f>
        <v>0</v>
      </c>
      <c r="C3" s="2">
        <f>'RT60'!C6</f>
        <v>0.01</v>
      </c>
      <c r="D3" s="2">
        <f>'RT60'!D6</f>
        <v>0.02</v>
      </c>
      <c r="E3" s="2">
        <f>'RT60'!E6</f>
        <v>0.02</v>
      </c>
      <c r="F3" s="2">
        <f>'RT60'!F6</f>
        <v>0.02</v>
      </c>
      <c r="G3" s="2">
        <f>'RT60'!G6</f>
        <v>0.02</v>
      </c>
      <c r="H3" s="2">
        <f>'RT60'!H6</f>
        <v>0.02</v>
      </c>
      <c r="L3" s="85">
        <f>0.161*'RT60'!$B2/'Sette-Millington'!C24</f>
        <v>3.2982363656812641</v>
      </c>
      <c r="M3" s="85">
        <f>0.161*'RT60'!$B2/'Sette-Millington'!D24</f>
        <v>1.4915240666032052</v>
      </c>
      <c r="N3" s="85">
        <f>0.161*'RT60'!$B2/'Sette-Millington'!E24</f>
        <v>0.84833327458221852</v>
      </c>
      <c r="O3" s="85">
        <f>0.161*'RT60'!$B2/'Sette-Millington'!F24</f>
        <v>0.57613016489511559</v>
      </c>
      <c r="P3" s="85">
        <f>0.161*'RT60'!$B2/'Sette-Millington'!G24</f>
        <v>0.5913193604722643</v>
      </c>
      <c r="Q3" s="85">
        <f>0.161*'RT60'!$B2/'Sette-Millington'!H24</f>
        <v>0.65299843509388722</v>
      </c>
    </row>
    <row r="4" spans="1:17" x14ac:dyDescent="0.35">
      <c r="A4" s="2" t="str">
        <f>'RT60'!A7</f>
        <v>Fiberglass, 2 in. on rigid backing</v>
      </c>
      <c r="B4" s="12">
        <f>'RT60'!B7</f>
        <v>22</v>
      </c>
      <c r="C4" s="2">
        <f>'RT60'!C7</f>
        <v>0.21</v>
      </c>
      <c r="D4" s="2">
        <f>'RT60'!D7</f>
        <v>0.5</v>
      </c>
      <c r="E4" s="2">
        <f>'RT60'!E7</f>
        <v>0.75</v>
      </c>
      <c r="F4" s="2">
        <f>'RT60'!F7</f>
        <v>0.9</v>
      </c>
      <c r="G4" s="2">
        <f>'RT60'!G7</f>
        <v>0.85</v>
      </c>
      <c r="H4" s="2">
        <f>'RT60'!H7</f>
        <v>0.8</v>
      </c>
    </row>
    <row r="5" spans="1:17" x14ac:dyDescent="0.35">
      <c r="A5" s="2" t="str">
        <f>'RT60'!A8</f>
        <v>Floor, linoleum, flexible tile, on concrete</v>
      </c>
      <c r="B5" s="12">
        <f>'RT60'!B8</f>
        <v>35</v>
      </c>
      <c r="C5" s="2">
        <f>'RT60'!C8</f>
        <v>0.02</v>
      </c>
      <c r="D5" s="2">
        <f>'RT60'!D8</f>
        <v>0.03</v>
      </c>
      <c r="E5" s="2">
        <f>'RT60'!E8</f>
        <v>0.03</v>
      </c>
      <c r="F5" s="2">
        <f>'RT60'!F8</f>
        <v>0.03</v>
      </c>
      <c r="G5" s="2">
        <f>'RT60'!G8</f>
        <v>0.03</v>
      </c>
      <c r="H5" s="2">
        <f>'RT60'!H8</f>
        <v>0.02</v>
      </c>
    </row>
    <row r="6" spans="1:17" x14ac:dyDescent="0.35">
      <c r="A6" s="2" t="str">
        <f>'RT60'!A9</f>
        <v>Marble or glazed tile</v>
      </c>
      <c r="B6" s="12">
        <f>'RT60'!B9</f>
        <v>0</v>
      </c>
      <c r="C6" s="2">
        <f>'RT60'!C9</f>
        <v>0.01</v>
      </c>
      <c r="D6" s="2">
        <f>'RT60'!D9</f>
        <v>0.01</v>
      </c>
      <c r="E6" s="2">
        <f>'RT60'!E9</f>
        <v>0.01</v>
      </c>
      <c r="F6" s="2">
        <f>'RT60'!F9</f>
        <v>0.01</v>
      </c>
      <c r="G6" s="2">
        <f>'RT60'!G9</f>
        <v>0.02</v>
      </c>
      <c r="H6" s="2">
        <f>'RT60'!H9</f>
        <v>0.02</v>
      </c>
    </row>
    <row r="7" spans="1:17" x14ac:dyDescent="0.35">
      <c r="A7" s="2" t="str">
        <f>'RT60'!A10</f>
        <v>wooden walls, 2 in.</v>
      </c>
      <c r="B7" s="12">
        <f>'RT60'!B10</f>
        <v>0</v>
      </c>
      <c r="C7" s="2">
        <f>'RT60'!C10</f>
        <v>0.14000000000000001</v>
      </c>
      <c r="D7" s="2">
        <f>'RT60'!D10</f>
        <v>0.1</v>
      </c>
      <c r="E7" s="2">
        <f>'RT60'!E10</f>
        <v>7.0000000000000007E-2</v>
      </c>
      <c r="F7" s="2">
        <f>'RT60'!F10</f>
        <v>0.05</v>
      </c>
      <c r="G7" s="2">
        <f>'RT60'!G10</f>
        <v>0.05</v>
      </c>
      <c r="H7" s="2">
        <f>'RT60'!H10</f>
        <v>0.05</v>
      </c>
    </row>
    <row r="8" spans="1:17" x14ac:dyDescent="0.35">
      <c r="A8" s="2" t="str">
        <f>'RT60'!A11</f>
        <v>Marble or glazed tile</v>
      </c>
      <c r="B8" s="12">
        <f>'RT60'!B11</f>
        <v>0</v>
      </c>
      <c r="C8" s="2">
        <f>'RT60'!C11</f>
        <v>0.01</v>
      </c>
      <c r="D8" s="2">
        <f>'RT60'!D11</f>
        <v>0.01</v>
      </c>
      <c r="E8" s="2">
        <f>'RT60'!E11</f>
        <v>0.01</v>
      </c>
      <c r="F8" s="2">
        <f>'RT60'!F11</f>
        <v>0.01</v>
      </c>
      <c r="G8" s="2">
        <f>'RT60'!G11</f>
        <v>0.02</v>
      </c>
      <c r="H8" s="2">
        <f>'RT60'!H11</f>
        <v>0.02</v>
      </c>
    </row>
    <row r="9" spans="1:17" x14ac:dyDescent="0.35">
      <c r="A9" s="2" t="str">
        <f>'RT60'!A12</f>
        <v>Concrete block, painted</v>
      </c>
      <c r="B9" s="12">
        <f>'RT60'!B12</f>
        <v>0</v>
      </c>
      <c r="C9" s="2">
        <f>'RT60'!C12</f>
        <v>0.1</v>
      </c>
      <c r="D9" s="2">
        <f>'RT60'!D12</f>
        <v>0.05</v>
      </c>
      <c r="E9" s="2">
        <f>'RT60'!E12</f>
        <v>0.06</v>
      </c>
      <c r="F9" s="2">
        <f>'RT60'!F12</f>
        <v>7.0000000000000007E-2</v>
      </c>
      <c r="G9" s="2">
        <f>'RT60'!G12</f>
        <v>0.09</v>
      </c>
      <c r="H9" s="2">
        <f>'RT60'!H12</f>
        <v>0.08</v>
      </c>
    </row>
    <row r="10" spans="1:17" x14ac:dyDescent="0.35">
      <c r="A10" s="2" t="str">
        <f>'RT60'!A13</f>
        <v>Concrete block, painted</v>
      </c>
      <c r="B10" s="12">
        <f>'RT60'!B13</f>
        <v>0</v>
      </c>
      <c r="C10" s="2">
        <f>'RT60'!C13</f>
        <v>0.1</v>
      </c>
      <c r="D10" s="2">
        <f>'RT60'!D13</f>
        <v>0.05</v>
      </c>
      <c r="E10" s="2">
        <f>'RT60'!E13</f>
        <v>0.06</v>
      </c>
      <c r="F10" s="2">
        <f>'RT60'!F13</f>
        <v>7.0000000000000007E-2</v>
      </c>
      <c r="G10" s="2">
        <f>'RT60'!G13</f>
        <v>0.09</v>
      </c>
      <c r="H10" s="2">
        <f>'RT60'!H13</f>
        <v>0.08</v>
      </c>
    </row>
    <row r="11" spans="1:17" ht="23.5" customHeight="1" x14ac:dyDescent="0.35"/>
    <row r="13" spans="1:17" ht="30" customHeight="1" x14ac:dyDescent="0.45">
      <c r="A13" s="90" t="s">
        <v>54</v>
      </c>
      <c r="B13" s="37" t="s">
        <v>80</v>
      </c>
      <c r="C13" s="99" cm="1">
        <f t="array" ref="C13">-SUM($B2:$B10*LN(1-C2:C10))</f>
        <v>8.0701068786217824</v>
      </c>
      <c r="D13" s="99" cm="1">
        <f t="array" ref="D13">-SUM($B2:$B10*LN(1-D2:D10))</f>
        <v>21.9051975800284</v>
      </c>
      <c r="E13" s="99" cm="1">
        <f t="array" ref="E13">-SUM($B2:$B10*LN(1-E2:E10))</f>
        <v>46.889316919582114</v>
      </c>
      <c r="F13" s="99" cm="1">
        <f t="array" ref="F13">-SUM($B2:$B10*LN(1-F2:F10))</f>
        <v>75.678175194366972</v>
      </c>
      <c r="G13" s="99" cm="1">
        <f t="array" ref="G13">-SUM($B2:$B10*LN(1-G2:G10))</f>
        <v>74.297375664414531</v>
      </c>
      <c r="H13" s="99" cm="1">
        <f t="array" ref="H13">-SUM($B2:$B10*LN(1-H2:H10))</f>
        <v>67.609392564623732</v>
      </c>
    </row>
    <row r="16" spans="1:17" ht="29" x14ac:dyDescent="0.35">
      <c r="A16" s="6" t="str">
        <f>'Sabine + NorrisEyring'!B18</f>
        <v>Object</v>
      </c>
      <c r="B16" s="5" t="str">
        <f>'Sabine + NorrisEyring'!C18</f>
        <v>Number of objects</v>
      </c>
      <c r="C16" s="40" t="s">
        <v>82</v>
      </c>
      <c r="D16" s="40" t="s">
        <v>34</v>
      </c>
      <c r="E16" s="40" t="s">
        <v>35</v>
      </c>
      <c r="F16" s="40" t="s">
        <v>36</v>
      </c>
      <c r="G16" s="40" t="s">
        <v>37</v>
      </c>
      <c r="H16" s="40" t="s">
        <v>38</v>
      </c>
      <c r="I16" s="10"/>
    </row>
    <row r="17" spans="1:9" x14ac:dyDescent="0.35">
      <c r="A17" s="2" t="str">
        <f>'Sabine + NorrisEyring'!B19</f>
        <v>Single person or heavily upholstered seat(± 0.10        )</v>
      </c>
      <c r="B17" s="12">
        <f>'Sabine + NorrisEyring'!C19</f>
        <v>22</v>
      </c>
      <c r="C17" s="2">
        <f>'Sabine + NorrisEyring'!D19</f>
        <v>0.4</v>
      </c>
      <c r="D17" s="2">
        <f>'Sabine + NorrisEyring'!E19</f>
        <v>0.7</v>
      </c>
      <c r="E17" s="2">
        <f>'Sabine + NorrisEyring'!F19</f>
        <v>0.85</v>
      </c>
      <c r="F17" s="2">
        <f>'Sabine + NorrisEyring'!G19</f>
        <v>0.95</v>
      </c>
      <c r="G17" s="2">
        <f>'Sabine + NorrisEyring'!H19</f>
        <v>0.9</v>
      </c>
      <c r="H17" s="26">
        <f>'Sabine + NorrisEyring'!I19</f>
        <v>0.8</v>
      </c>
      <c r="I17" s="10"/>
    </row>
    <row r="18" spans="1:9" x14ac:dyDescent="0.35">
      <c r="A18" s="2" t="str">
        <f>'Sabine + NorrisEyring'!B20</f>
        <v>Description</v>
      </c>
      <c r="B18" s="12">
        <v>1</v>
      </c>
      <c r="C18" s="2">
        <f>'Sabine + NorrisEyring'!D20</f>
        <v>0</v>
      </c>
      <c r="D18" s="2">
        <f>'Sabine + NorrisEyring'!E20</f>
        <v>0</v>
      </c>
      <c r="E18" s="2">
        <f>'Sabine + NorrisEyring'!F20</f>
        <v>0</v>
      </c>
      <c r="F18" s="2">
        <f>'Sabine + NorrisEyring'!G20</f>
        <v>0</v>
      </c>
      <c r="G18" s="2">
        <f>'Sabine + NorrisEyring'!H20</f>
        <v>0</v>
      </c>
      <c r="H18" s="26">
        <f>'Sabine + NorrisEyring'!I20</f>
        <v>0</v>
      </c>
      <c r="I18" s="10"/>
    </row>
    <row r="19" spans="1:9" x14ac:dyDescent="0.35">
      <c r="A19" s="2" t="str">
        <f>'Sabine + NorrisEyring'!B21</f>
        <v>Description</v>
      </c>
      <c r="B19" s="12">
        <f>'Sabine + NorrisEyring'!C21</f>
        <v>0</v>
      </c>
      <c r="C19" s="2">
        <f>'Sabine + NorrisEyring'!D21</f>
        <v>0</v>
      </c>
      <c r="D19" s="2">
        <f>'Sabine + NorrisEyring'!E21</f>
        <v>0</v>
      </c>
      <c r="E19" s="2">
        <f>'Sabine + NorrisEyring'!F21</f>
        <v>0</v>
      </c>
      <c r="F19" s="2">
        <f>'Sabine + NorrisEyring'!G21</f>
        <v>0</v>
      </c>
      <c r="G19" s="2">
        <f>'Sabine + NorrisEyring'!H21</f>
        <v>0</v>
      </c>
      <c r="H19" s="26">
        <f>'Sabine + NorrisEyring'!I21</f>
        <v>0</v>
      </c>
      <c r="I19" s="10"/>
    </row>
    <row r="21" spans="1:9" ht="25.9" customHeight="1" x14ac:dyDescent="0.35">
      <c r="B21" s="38" t="s">
        <v>81</v>
      </c>
      <c r="C21" s="99">
        <f>SUMPRODUCT(C17:C19,$B17:$B19)</f>
        <v>8.8000000000000007</v>
      </c>
      <c r="D21" s="99">
        <f t="shared" ref="D21:H21" si="0">SUMPRODUCT(D17:D19,$B17:$B19)</f>
        <v>15.399999999999999</v>
      </c>
      <c r="E21" s="99">
        <f t="shared" si="0"/>
        <v>18.7</v>
      </c>
      <c r="F21" s="99">
        <f t="shared" si="0"/>
        <v>20.9</v>
      </c>
      <c r="G21" s="99">
        <f t="shared" si="0"/>
        <v>19.8</v>
      </c>
      <c r="H21" s="99">
        <f t="shared" si="0"/>
        <v>17.600000000000001</v>
      </c>
    </row>
    <row r="24" spans="1:9" ht="29" x14ac:dyDescent="0.35">
      <c r="B24" s="39" t="s">
        <v>47</v>
      </c>
      <c r="C24" s="98">
        <f>SUM(C13,C21)</f>
        <v>16.870106878621783</v>
      </c>
      <c r="D24" s="98">
        <f t="shared" ref="D24:H24" si="1">SUM(D13,D21)</f>
        <v>37.305197580028398</v>
      </c>
      <c r="E24" s="98">
        <f t="shared" si="1"/>
        <v>65.589316919582117</v>
      </c>
      <c r="F24" s="98">
        <f t="shared" si="1"/>
        <v>96.578175194366963</v>
      </c>
      <c r="G24" s="98">
        <f t="shared" si="1"/>
        <v>94.097375664414528</v>
      </c>
      <c r="H24" s="98">
        <f t="shared" si="1"/>
        <v>85.209392564623727</v>
      </c>
    </row>
  </sheetData>
  <mergeCells count="1">
    <mergeCell ref="L1:Q1"/>
  </mergeCells>
  <phoneticPr fontId="7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>
      <selection activeCell="G12" sqref="G12"/>
    </sheetView>
  </sheetViews>
  <sheetFormatPr defaultRowHeight="14.5" x14ac:dyDescent="0.35"/>
  <cols>
    <col min="1" max="1" width="14" customWidth="1"/>
  </cols>
  <sheetData>
    <row r="1" spans="1:7" x14ac:dyDescent="0.35">
      <c r="B1" s="41" t="s">
        <v>82</v>
      </c>
      <c r="C1" s="41" t="s">
        <v>34</v>
      </c>
      <c r="D1" s="41" t="s">
        <v>35</v>
      </c>
      <c r="E1" s="41" t="s">
        <v>36</v>
      </c>
      <c r="F1" s="41" t="s">
        <v>37</v>
      </c>
      <c r="G1" s="41" t="s">
        <v>38</v>
      </c>
    </row>
    <row r="2" spans="1:7" x14ac:dyDescent="0.35">
      <c r="A2" s="101" t="s">
        <v>87</v>
      </c>
      <c r="B2" s="41">
        <f>'RT60'!C25</f>
        <v>1</v>
      </c>
      <c r="C2" s="41">
        <f>'RT60'!D25</f>
        <v>1</v>
      </c>
      <c r="D2" s="41">
        <f>'RT60'!E25</f>
        <v>1</v>
      </c>
      <c r="E2" s="41">
        <f>'RT60'!F25</f>
        <v>1</v>
      </c>
      <c r="F2" s="41">
        <f>'RT60'!G25</f>
        <v>1</v>
      </c>
      <c r="G2" s="41">
        <f>'RT60'!H25</f>
        <v>1</v>
      </c>
    </row>
    <row r="4" spans="1:7" ht="16.5" x14ac:dyDescent="0.35">
      <c r="A4" s="69" t="s">
        <v>89</v>
      </c>
      <c r="B4" s="66">
        <f>'Sabine + NorrisEyring'!C11</f>
        <v>67</v>
      </c>
    </row>
    <row r="6" spans="1:7" x14ac:dyDescent="0.35">
      <c r="A6" s="67"/>
      <c r="B6" s="11" t="s">
        <v>82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</row>
    <row r="7" spans="1:7" x14ac:dyDescent="0.35">
      <c r="A7" s="70" t="s">
        <v>50</v>
      </c>
      <c r="B7" s="100">
        <f>'Sabine + NorrisEyring'!D13</f>
        <v>8.9850746268656717E-2</v>
      </c>
      <c r="C7" s="100">
        <f>'Sabine + NorrisEyring'!E13</f>
        <v>0.20522388059701493</v>
      </c>
      <c r="D7" s="100">
        <f>'Sabine + NorrisEyring'!F13</f>
        <v>0.32164179104477614</v>
      </c>
      <c r="E7" s="100">
        <f>'Sabine + NorrisEyring'!G13</f>
        <v>0.39328358208955227</v>
      </c>
      <c r="F7" s="100">
        <f>'Sabine + NorrisEyring'!H13</f>
        <v>0.39179104477611942</v>
      </c>
      <c r="G7" s="100">
        <f>'Sabine + NorrisEyring'!I13</f>
        <v>0.37014925373134328</v>
      </c>
    </row>
    <row r="11" spans="1:7" x14ac:dyDescent="0.35">
      <c r="A11" s="148" t="s">
        <v>88</v>
      </c>
      <c r="B11" s="68" t="s">
        <v>82</v>
      </c>
      <c r="C11" s="68" t="s">
        <v>34</v>
      </c>
      <c r="D11" s="68" t="s">
        <v>35</v>
      </c>
      <c r="E11" s="68" t="s">
        <v>36</v>
      </c>
      <c r="F11" s="68" t="s">
        <v>37</v>
      </c>
      <c r="G11" s="68" t="s">
        <v>38</v>
      </c>
    </row>
    <row r="12" spans="1:7" x14ac:dyDescent="0.35">
      <c r="A12" s="149"/>
      <c r="B12" s="83">
        <f t="shared" ref="B12:G12" si="0">0.14*(((B2*$B4*B7)/(1-B7))^0.5)</f>
        <v>0.36005593384940071</v>
      </c>
      <c r="C12" s="83">
        <f t="shared" si="0"/>
        <v>0.58231366279517638</v>
      </c>
      <c r="D12" s="83">
        <f t="shared" si="0"/>
        <v>0.78908198879362601</v>
      </c>
      <c r="E12" s="83">
        <f t="shared" si="0"/>
        <v>0.9226255385468386</v>
      </c>
      <c r="F12" s="83">
        <f t="shared" si="0"/>
        <v>0.91974256200748827</v>
      </c>
      <c r="G12" s="83">
        <f t="shared" si="0"/>
        <v>0.87848641914692838</v>
      </c>
    </row>
  </sheetData>
  <mergeCells count="1">
    <mergeCell ref="A11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7</vt:i4>
      </vt:variant>
      <vt:variant>
        <vt:lpstr>Καθορισμένες περιοχές</vt:lpstr>
      </vt:variant>
      <vt:variant>
        <vt:i4>5</vt:i4>
      </vt:variant>
    </vt:vector>
  </HeadingPairs>
  <TitlesOfParts>
    <vt:vector size="12" baseType="lpstr">
      <vt:lpstr>Properties</vt:lpstr>
      <vt:lpstr>RT60</vt:lpstr>
      <vt:lpstr>Best RT60</vt:lpstr>
      <vt:lpstr>Sabine + NorrisEyring</vt:lpstr>
      <vt:lpstr>Air absorption</vt:lpstr>
      <vt:lpstr>Sette-Millington</vt:lpstr>
      <vt:lpstr>Critical Distance</vt:lpstr>
      <vt:lpstr>Church</vt:lpstr>
      <vt:lpstr>Cinema</vt:lpstr>
      <vt:lpstr>Concert_Hall</vt:lpstr>
      <vt:lpstr>Opera_House</vt:lpstr>
      <vt:lpstr>Reference_Hall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Katerina Papadaki</cp:lastModifiedBy>
  <dcterms:created xsi:type="dcterms:W3CDTF">2018-05-23T12:12:05Z</dcterms:created>
  <dcterms:modified xsi:type="dcterms:W3CDTF">2023-05-25T14:44:43Z</dcterms:modified>
</cp:coreProperties>
</file>